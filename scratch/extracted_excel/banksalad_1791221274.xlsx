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<sst xmlns="http://schemas.openxmlformats.org/spreadsheetml/2006/main" count="1465" uniqueCount="326">
  <si>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</si>
  <si>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</si>
  <si>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</si>
  <si>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</si>
  <si>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</si>
  <si>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</si>
  <si>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</si>
  <si>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</si>
  <si>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</si>
  <si>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</si>
  <si>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</si>
  <si>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</si>
  <si>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</si>
  <si>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</si>
  <si>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</si>
  <si>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2026-09</t>
  </si>
  <si>
    <t>금융수입</t>
  </si>
  <si>
    <t>급여</t>
  </si>
  <si>
    <t>사업수입</t>
  </si>
  <si>
    <t>용돈</t>
  </si>
  <si>
    <t>월수입 총계</t>
  </si>
  <si>
    <t>교육/학습</t>
  </si>
  <si>
    <t>교통</t>
  </si>
  <si>
    <t>금융</t>
  </si>
  <si>
    <t>문화/여가</t>
  </si>
  <si>
    <t>뷰티/미용</t>
  </si>
  <si>
    <t>생활</t>
  </si>
  <si>
    <t>식비</t>
  </si>
  <si>
    <t>엥</t>
  </si>
  <si>
    <t>여행/숙박</t>
  </si>
  <si>
    <t>온라인쇼핑</t>
  </si>
  <si>
    <t>의료/건강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</si>
  <si>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</si>
  <si>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</si>
  <si>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</si>
  <si>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</si>
  <si>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</si>
  <si>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</si>
  <si>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</si>
  <si>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</si>
  <si>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</si>
  <si>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</si>
  <si>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</si>
  <si>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</si>
  <si>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</si>
  <si>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</si>
  <si>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</si>
  <si>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</si>
  <si>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</si>
  <si>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</si>
  <si>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</si>
  <si>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</si>
  <si>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</si>
  <si>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</si>
  <si>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</si>
  <si>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</si>
  <si>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</si>
  <si>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</si>
  <si>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</si>
  <si>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</si>
  <si>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</si>
  <si>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</si>
  <si>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</si>
  <si>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</si>
  <si>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</si>
  <si>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</si>
  <si>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</si>
  <si>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투자성 자산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</si>
  <si>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</si>
  <si>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</si>
  <si>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</si>
  <si>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</si>
  <si>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</si>
  <si>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</si>
  <si>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</si>
  <si>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</si>
  <si>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</si>
  <si>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</si>
  <si>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</si>
  <si>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</si>
  <si>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</si>
  <si>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</si>
  <si>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</si>
  <si>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</si>
  <si>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</si>
  <si>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</si>
  <si>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</si>
  <si>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</si>
  <si>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</si>
  <si>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</si>
  <si>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</si>
  <si>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</si>
  <si>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</si>
  <si>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</si>
  <si>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</si>
  <si>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</si>
  <si>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</si>
  <si>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</si>
  <si>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</si>
  <si>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</si>
  <si>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</si>
  <si>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</si>
  <si>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</si>
  <si>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</si>
  <si>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</si>
  <si>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</si>
  <si>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</si>
  <si>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</si>
  <si>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</si>
  <si>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</si>
  <si>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</si>
  <si>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</si>
  <si>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</si>
  <si>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</si>
  <si>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</si>
  <si>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</si>
  <si>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</si>
  <si>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</si>
  <si>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</si>
  <si>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</si>
  <si>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</si>
  <si>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</si>
  <si>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</si>
  <si>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</si>
  <si>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</si>
  <si>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</si>
  <si>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</si>
  <si>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</si>
  <si>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</si>
  <si>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</si>
  <si>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6개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</si>
  <si>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</si>
  <si>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</si>
  <si>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</si>
  <si>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</si>
  <si>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</si>
  <si>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</si>
  <si>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</si>
  <si>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</si>
  <si>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</si>
  <si>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</si>
  <si>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</si>
  <si>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</si>
  <si>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</si>
  <si>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</si>
  <si>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</si>
  <si>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</si>
  <si>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</si>
  <si>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</si>
  <si>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</si>
  <si>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</si>
  <si>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</si>
  <si>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세금/과태료</t>
  </si>
  <si>
    <t>서울시 세금납부시스템</t>
  </si>
  <si>
    <t>KRW</t>
  </si>
  <si>
    <t>네이버페이 간편결제</t>
  </si>
  <si>
    <t>이체</t>
  </si>
  <si>
    <t>카드대금</t>
  </si>
  <si>
    <t>미분류</t>
  </si>
  <si>
    <t>신한카드</t>
  </si>
  <si>
    <t>내계좌이체</t>
  </si>
  <si>
    <t>씨제이올리브영주식회사</t>
  </si>
  <si>
    <t>우리카드_KT Plus</t>
  </si>
  <si>
    <t>인터넷쇼핑</t>
  </si>
  <si>
    <t>쿠팡</t>
  </si>
  <si>
    <t>신한카드_더모아</t>
  </si>
  <si>
    <t>쿠팡(주)</t>
  </si>
  <si>
    <t>쉐어링크_2608</t>
  </si>
  <si>
    <t>배달</t>
  </si>
  <si>
    <t>요기요</t>
  </si>
  <si>
    <t>서비스구독</t>
  </si>
  <si>
    <t>T 우주</t>
  </si>
  <si>
    <t>네이버페이 간편결제(포인트)</t>
  </si>
  <si>
    <t>(주)공차코리아</t>
  </si>
  <si>
    <t>일식</t>
  </si>
  <si>
    <t>역전우동 강남터미널</t>
  </si>
  <si>
    <t>(주)케이알산업  인삼랜드(상)휴게소</t>
  </si>
  <si>
    <t>편의점</t>
  </si>
  <si>
    <t>씨유(CU) 통영죽림원룸점</t>
  </si>
  <si>
    <t>하나카드_MG+ S</t>
  </si>
  <si>
    <t>국민카드_톡마포</t>
  </si>
  <si>
    <t>프리미엄콘텐츠</t>
  </si>
  <si>
    <t>수입</t>
  </si>
  <si>
    <t>입출금통장 이자</t>
  </si>
  <si>
    <t>저축</t>
  </si>
  <si>
    <t>정기이자 입금</t>
  </si>
  <si>
    <t>카드</t>
  </si>
  <si>
    <t>NICE결제대행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</si>
  <si>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</si>
  <si>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</si>
  <si>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</si>
  <si>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</si>
  <si>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</si>
  <si>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</si>
  <si>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영화</t>
  </si>
  <si>
    <t>(주)해피투게더</t>
  </si>
  <si>
    <t>주식회사앳홈</t>
  </si>
  <si>
    <t>KT통신요금납부</t>
  </si>
  <si>
    <t>뷔페</t>
  </si>
  <si>
    <t>마키노차야 해운대엘시티점</t>
  </si>
  <si>
    <t>한식</t>
  </si>
  <si>
    <t>대성집</t>
  </si>
  <si>
    <t>신한카드_다드림 LOVE</t>
  </si>
  <si>
    <t>교남동사무소</t>
  </si>
  <si>
    <t>이자/대출</t>
  </si>
  <si>
    <t>계원IRP</t>
  </si>
  <si>
    <t>일구팔이 컵밥&amp;유부초밥</t>
  </si>
  <si>
    <t>성형외과</t>
  </si>
  <si>
    <t>포헤어의원</t>
  </si>
  <si>
    <t>국민카드_KB국민플래티늄카드</t>
  </si>
  <si>
    <t>090.김동욱차</t>
  </si>
  <si>
    <t>090.김동욱</t>
  </si>
  <si>
    <t>007.수협대출금</t>
  </si>
  <si>
    <t>수협대출금</t>
  </si>
  <si>
    <t>생활비_계원</t>
  </si>
  <si>
    <t>입금 내역</t>
  </si>
  <si>
    <t>090.생활비_계</t>
  </si>
  <si>
    <t>004.청년 주택</t>
  </si>
  <si>
    <t>089.케이뱅크30</t>
  </si>
  <si>
    <t>증권/투자</t>
  </si>
  <si>
    <t>김동욱irp</t>
  </si>
  <si>
    <t>패스트푸드</t>
  </si>
  <si>
    <t>써브웨이  을지로입구점</t>
  </si>
  <si>
    <t>써브웨이(을지로입구점)</t>
  </si>
  <si>
    <t>페이코 간편결제</t>
  </si>
  <si>
    <t>삼성화허계원</t>
  </si>
  <si>
    <t>KT통신요금 자동납부</t>
  </si>
  <si>
    <t>옛날떡볶이</t>
  </si>
  <si>
    <t>예금이자원가</t>
  </si>
  <si>
    <t>결산이자</t>
  </si>
  <si>
    <t>(주)마켓랩</t>
  </si>
  <si>
    <t>기맥힌 과자 건어물 용인점</t>
  </si>
  <si>
    <t>대중교통</t>
  </si>
  <si>
    <t>따릉이(서울시설공단)</t>
  </si>
  <si>
    <t>버거옥</t>
  </si>
  <si>
    <t>GS25종로인사점</t>
  </si>
  <si>
    <t>전시/관람</t>
  </si>
  <si>
    <t>대한불교조계종조</t>
  </si>
  <si>
    <t>히타토 제면소</t>
  </si>
  <si>
    <t>예금결산이자</t>
  </si>
  <si>
    <t>06.20~09.18</t>
  </si>
  <si>
    <t>중식</t>
  </si>
  <si>
    <t>탕화쿵푸마라탕 숭실대입구점</t>
  </si>
  <si>
    <t>(주) 카페크리스피</t>
  </si>
  <si>
    <t>(주)우아한형제들</t>
  </si>
  <si>
    <t>일구팔이 컵밥&amp;</t>
  </si>
  <si>
    <t>하나카드</t>
  </si>
  <si>
    <t>하나카드 주식회사</t>
  </si>
  <si>
    <t>(주)브레댄코</t>
  </si>
  <si>
    <t>주식회사 놀유니버스</t>
  </si>
  <si>
    <t>NH연회비환출</t>
  </si>
  <si>
    <t>abcnet</t>
  </si>
  <si>
    <t>넥스트유몰</t>
  </si>
  <si>
    <t>달아달아 독립문점</t>
  </si>
  <si>
    <t>153구포국수 충무로점</t>
  </si>
  <si>
    <t>보험</t>
  </si>
  <si>
    <t>KB카드입금</t>
  </si>
  <si>
    <t>주식회사  페럼인프라</t>
  </si>
  <si>
    <t>김동욱생활비</t>
  </si>
  <si>
    <t>KB카드출금</t>
  </si>
  <si>
    <t>김동욱 생활비</t>
  </si>
  <si>
    <t>하나8</t>
  </si>
  <si>
    <t>국민8</t>
  </si>
  <si>
    <t>신한8</t>
  </si>
  <si>
    <t>뉴그리나</t>
  </si>
  <si>
    <t>우리카드결제</t>
  </si>
  <si>
    <t>우리8</t>
  </si>
  <si>
    <t>마트</t>
  </si>
  <si>
    <t>GS THE FRESH 무악현대점</t>
  </si>
  <si>
    <t>우리카드결제대금</t>
  </si>
  <si>
    <t>김동욱인터넷</t>
  </si>
  <si>
    <t>이아초밥 용산점</t>
  </si>
  <si>
    <t>신한체크교통</t>
  </si>
  <si>
    <t>일일향 명동점</t>
  </si>
  <si>
    <t>토스쇼핑</t>
  </si>
  <si>
    <t>토스 간편결제</t>
  </si>
  <si>
    <t>티머니GO</t>
  </si>
  <si>
    <t>기후동행카드</t>
  </si>
  <si>
    <t>패션</t>
  </si>
  <si>
    <t>모노로그명동</t>
  </si>
  <si>
    <t>투자</t>
  </si>
  <si>
    <t>프롬닭가슴</t>
  </si>
  <si>
    <t>샹츠마라 종로점</t>
  </si>
  <si>
    <t>거북이</t>
  </si>
  <si>
    <t>ALIEXPRESS</t>
  </si>
  <si>
    <t>치과</t>
  </si>
  <si>
    <t>서울우리원치과의</t>
  </si>
  <si>
    <t>재단법인 한국우편사업진흥원</t>
  </si>
  <si>
    <t>카카오(c) 신한전자</t>
  </si>
  <si>
    <t>기후동행 따릉</t>
  </si>
  <si>
    <t>네이버플러스멤버십</t>
  </si>
  <si>
    <t>프롬파우치</t>
  </si>
  <si>
    <t>프롬하이효</t>
  </si>
  <si>
    <t>고정지출통장</t>
  </si>
  <si>
    <t>aliexpress</t>
  </si>
  <si>
    <t>허순필</t>
  </si>
  <si>
    <t>여행</t>
  </si>
  <si>
    <t>투썸플레이스_4</t>
  </si>
  <si>
    <t>주식회사 카카오</t>
  </si>
  <si>
    <t>게임</t>
  </si>
  <si>
    <t>나인원 보드게임카페24</t>
  </si>
  <si>
    <t>Apple Services</t>
  </si>
  <si>
    <t>카뱅오픈김지원</t>
  </si>
  <si>
    <t>유앤아이의원</t>
  </si>
  <si>
    <t>학원/강의</t>
  </si>
  <si>
    <t>파이어랩</t>
  </si>
  <si>
    <t>주식회사 예스코</t>
  </si>
  <si>
    <t>삼성화재해상보험(주)</t>
  </si>
  <si>
    <t>먹보대장</t>
  </si>
  <si>
    <t>고기</t>
  </si>
  <si>
    <t>춘천그린식품 강명희</t>
  </si>
  <si>
    <t>CU(페럼타워점)</t>
  </si>
  <si>
    <t>목욕</t>
  </si>
  <si>
    <t>테리파머</t>
  </si>
  <si>
    <t>인터넷상거래</t>
  </si>
  <si>
    <t>김동욱</t>
  </si>
  <si>
    <t>계원용돈</t>
  </si>
  <si>
    <t>기후동행환급</t>
  </si>
  <si>
    <t>뉴그리나여행</t>
  </si>
  <si>
    <t>결제/충전</t>
  </si>
  <si>
    <t>헥토_구인증</t>
  </si>
  <si>
    <t>김성민</t>
  </si>
  <si>
    <t>효경이네</t>
  </si>
  <si>
    <t>간편결제_에스에스지페이먼츠</t>
  </si>
  <si>
    <t>보조식품</t>
  </si>
  <si>
    <t>더리틀스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</si>
</sst>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5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 t="s">
        <v>16</v>
      </c>
      <c r="C12" s="10">
        <f>SUM(E12)</f>
        <v>0</v>
      </c>
      <c r="D12" s="10">
        <f>C12/1</f>
        <v>0</v>
      </c>
      <c r="E12" s="10">
        <v>2782</v>
      </c>
    </row>
    <row r="13" spans="2:7">
      <c r="B13" s="9" t="s">
        <v>17</v>
      </c>
      <c r="C13" s="10">
        <f>SUM(E13)</f>
        <v>0</v>
      </c>
      <c r="D13" s="10">
        <f>C13/1</f>
        <v>0</v>
      </c>
      <c r="E13" s="10">
        <v>4824960</v>
      </c>
    </row>
    <row r="14" spans="2:7">
      <c r="B14" s="9" t="s">
        <v>18</v>
      </c>
      <c r="C14" s="10">
        <f>SUM(E14)</f>
        <v>0</v>
      </c>
      <c r="D14" s="10">
        <f>C14/1</f>
        <v>0</v>
      </c>
      <c r="E14" s="10">
        <v>30000</v>
      </c>
    </row>
    <row r="15" spans="2:7">
      <c r="B15" s="9" t="s">
        <v>19</v>
      </c>
      <c r="C15" s="10">
        <f>SUM(E15)</f>
        <v>0</v>
      </c>
      <c r="D15" s="10">
        <f>C15/1</f>
        <v>0</v>
      </c>
      <c r="E15" s="10">
        <v>406</v>
      </c>
    </row>
    <row r="16" spans="2:7">
      <c r="B16" s="11" t="s">
        <v>20</v>
      </c>
      <c r="C16" s="12">
        <f>SUM(E16)</f>
        <v>0</v>
      </c>
      <c r="D16" s="12">
        <f>C16/1</f>
        <v>0</v>
      </c>
      <c r="E16" s="12">
        <f>SUM(E12:E15)</f>
        <v>0</v>
      </c>
    </row>
    <row r="17" spans="2:5">
      <c r="B17" s="9" t="s">
        <v>21</v>
      </c>
      <c r="C17" s="10">
        <f>SUM(E17)</f>
        <v>0</v>
      </c>
      <c r="D17" s="10">
        <f>C17/1</f>
        <v>0</v>
      </c>
      <c r="E17" s="10">
        <v>19000</v>
      </c>
    </row>
    <row r="18" spans="2:5">
      <c r="B18" s="9" t="s">
        <v>22</v>
      </c>
      <c r="C18" s="10">
        <f>SUM(E18)</f>
        <v>0</v>
      </c>
      <c r="D18" s="10">
        <f>C18/1</f>
        <v>0</v>
      </c>
      <c r="E18" s="10">
        <v>179780</v>
      </c>
    </row>
    <row r="19" spans="2:5">
      <c r="B19" s="9" t="s">
        <v>23</v>
      </c>
      <c r="C19" s="10">
        <f>SUM(E19)</f>
        <v>0</v>
      </c>
      <c r="D19" s="10">
        <f>C19/1</f>
        <v>0</v>
      </c>
      <c r="E19" s="10">
        <v>1104197</v>
      </c>
    </row>
    <row r="20" spans="2:5">
      <c r="B20" s="9" t="s">
        <v>24</v>
      </c>
      <c r="C20" s="10">
        <f>SUM(E20)</f>
        <v>0</v>
      </c>
      <c r="D20" s="10">
        <f>C20/1</f>
        <v>0</v>
      </c>
      <c r="E20" s="10">
        <v>99500</v>
      </c>
    </row>
    <row r="21" spans="2:5">
      <c r="B21" s="9" t="s">
        <v>25</v>
      </c>
      <c r="C21" s="10">
        <f>SUM(E21)</f>
        <v>0</v>
      </c>
      <c r="D21" s="10">
        <f>C21/1</f>
        <v>0</v>
      </c>
      <c r="E21" s="10">
        <v>135500</v>
      </c>
    </row>
    <row r="22" spans="2:5">
      <c r="B22" s="9" t="s">
        <v>26</v>
      </c>
      <c r="C22" s="10">
        <f>SUM(E22)</f>
        <v>0</v>
      </c>
      <c r="D22" s="10">
        <f>C22/1</f>
        <v>0</v>
      </c>
      <c r="E22" s="10">
        <v>60960</v>
      </c>
    </row>
    <row r="23" spans="2:5">
      <c r="B23" s="9" t="s">
        <v>27</v>
      </c>
      <c r="C23" s="10">
        <f>SUM(E23)</f>
        <v>0</v>
      </c>
      <c r="D23" s="10">
        <f>C23/1</f>
        <v>0</v>
      </c>
      <c r="E23" s="10">
        <v>780489</v>
      </c>
    </row>
    <row r="24" spans="2:5">
      <c r="B24" s="9" t="s">
        <v>28</v>
      </c>
      <c r="C24" s="10">
        <f>SUM(E24)</f>
        <v>0</v>
      </c>
      <c r="D24" s="10">
        <f>C24/1</f>
        <v>0</v>
      </c>
      <c r="E24" s="10">
        <v>267960</v>
      </c>
    </row>
    <row r="25" spans="2:5">
      <c r="B25" s="9" t="s">
        <v>29</v>
      </c>
      <c r="C25" s="10">
        <f>SUM(E25)</f>
        <v>0</v>
      </c>
      <c r="D25" s="10">
        <f>C25/1</f>
        <v>0</v>
      </c>
      <c r="E25" s="10">
        <v>138000</v>
      </c>
    </row>
    <row r="26" spans="2:5">
      <c r="B26" s="9" t="s">
        <v>30</v>
      </c>
      <c r="C26" s="10">
        <f>SUM(E26)</f>
        <v>0</v>
      </c>
      <c r="D26" s="10">
        <f>C26/1</f>
        <v>0</v>
      </c>
      <c r="E26" s="10">
        <v>686184</v>
      </c>
    </row>
    <row r="27" spans="2:5">
      <c r="B27" s="9" t="s">
        <v>31</v>
      </c>
      <c r="C27" s="10">
        <f>SUM(E27)</f>
        <v>0</v>
      </c>
      <c r="D27" s="10">
        <f>C27/1</f>
        <v>0</v>
      </c>
      <c r="E27" s="10">
        <v>1127540</v>
      </c>
    </row>
    <row r="28" spans="2:5">
      <c r="B28" s="9" t="s">
        <v>32</v>
      </c>
      <c r="C28" s="10">
        <f>SUM(E28)</f>
        <v>0</v>
      </c>
      <c r="D28" s="10">
        <f>C28/1</f>
        <v>0</v>
      </c>
      <c r="E28" s="10">
        <v>71500</v>
      </c>
    </row>
    <row r="29" spans="2:5">
      <c r="B29" s="9" t="s">
        <v>33</v>
      </c>
      <c r="C29" s="10">
        <f>SUM(E29)</f>
        <v>0</v>
      </c>
      <c r="D29" s="10">
        <f>C29/1</f>
        <v>0</v>
      </c>
      <c r="E29" s="10">
        <v>16900</v>
      </c>
    </row>
    <row r="30" spans="2:5">
      <c r="B30" s="11" t="s">
        <v>34</v>
      </c>
      <c r="C30" s="12">
        <f>SUM(E30)</f>
        <v>0</v>
      </c>
      <c r="D30" s="12">
        <f>C30/1</f>
        <v>0</v>
      </c>
      <c r="E30" s="12">
        <f>SUM(E17:E29)</f>
        <v>0</v>
      </c>
    </row>
    <row r="31" spans="2:5">
      <c r="B31" s="13" t="s">
        <v>35</v>
      </c>
      <c r="C31" s="14">
        <f>SUM(E31)</f>
        <v>0</v>
      </c>
      <c r="D31" s="14">
        <f>C31/1</f>
        <v>0</v>
      </c>
      <c r="E31" s="14">
        <f>E16-E30</f>
        <v>0</v>
      </c>
    </row>
    <row r="34" spans="2:9">
      <c r="B34" s="1" t="s">
        <v>36</v>
      </c>
    </row>
    <row r="35" spans="2:9">
      <c r="B35" t="s">
        <v>37</v>
      </c>
    </row>
    <row r="36" spans="2:9">
      <c r="B36" s="15" t="s">
        <v>38</v>
      </c>
      <c r="C36" s="15"/>
      <c r="D36" s="15"/>
      <c r="E36" s="15"/>
      <c r="F36" s="16" t="s">
        <v>39</v>
      </c>
      <c r="G36" s="16"/>
      <c r="H36" s="16"/>
      <c r="I36" s="16"/>
    </row>
    <row r="37" spans="2:9">
      <c r="B37" s="17" t="s">
        <v>12</v>
      </c>
      <c r="C37" s="18" t="s">
        <v>40</v>
      </c>
      <c r="D37" s="18"/>
      <c r="E37" s="18" t="s">
        <v>41</v>
      </c>
      <c r="F37" s="18" t="s">
        <v>12</v>
      </c>
      <c r="G37" s="18" t="s">
        <v>40</v>
      </c>
      <c r="H37" s="18"/>
      <c r="I37" s="18" t="s">
        <v>41</v>
      </c>
    </row>
    <row r="38" spans="2:9">
      <c r="B38" s="19" t="s">
        <v>42</v>
      </c>
      <c r="C38" s="20" t="s">
        <v>43</v>
      </c>
      <c r="D38" s="20"/>
      <c r="E38" s="21">
        <v>792012</v>
      </c>
      <c r="F38" s="22" t="s">
        <v>95</v>
      </c>
      <c r="G38" s="20"/>
      <c r="H38" s="20"/>
      <c r="I38" s="23"/>
    </row>
    <row r="39" spans="2:9">
      <c r="B39" s="19"/>
      <c r="C39" s="20" t="s">
        <v>44</v>
      </c>
      <c r="D39" s="20"/>
      <c r="E39" s="21">
        <v>388</v>
      </c>
      <c r="F39" s="20"/>
      <c r="G39" s="20"/>
      <c r="H39" s="20"/>
      <c r="I39" s="24"/>
    </row>
    <row r="40" spans="2:9">
      <c r="B40" s="19"/>
      <c r="C40" s="20" t="s">
        <v>45</v>
      </c>
      <c r="D40" s="20"/>
      <c r="E40" s="21">
        <v>1</v>
      </c>
      <c r="F40" s="20"/>
      <c r="G40" s="20"/>
      <c r="H40" s="20"/>
      <c r="I40" s="24"/>
    </row>
    <row r="41" spans="2:9">
      <c r="B41" s="19"/>
      <c r="C41" s="20" t="s">
        <v>46</v>
      </c>
      <c r="D41" s="20"/>
      <c r="E41" s="21">
        <v>519342</v>
      </c>
      <c r="F41" s="20"/>
      <c r="G41" s="20"/>
      <c r="H41" s="20"/>
      <c r="I41" s="24"/>
    </row>
    <row r="42" spans="2:9">
      <c r="B42" s="19"/>
      <c r="C42" s="20" t="s">
        <v>47</v>
      </c>
      <c r="D42" s="20"/>
      <c r="E42" s="21">
        <v>353490</v>
      </c>
      <c r="F42" s="20"/>
      <c r="G42" s="20"/>
      <c r="H42" s="20"/>
      <c r="I42" s="24"/>
    </row>
    <row r="43" spans="2:9">
      <c r="B43" s="19"/>
      <c r="C43" s="20" t="s">
        <v>48</v>
      </c>
      <c r="D43" s="20"/>
      <c r="E43" s="21">
        <v>1875405</v>
      </c>
      <c r="F43" s="20"/>
      <c r="G43" s="20"/>
      <c r="H43" s="20"/>
      <c r="I43" s="24"/>
    </row>
    <row r="44" spans="2:9">
      <c r="B44" s="19"/>
      <c r="C44" s="20" t="s">
        <v>49</v>
      </c>
      <c r="D44" s="20"/>
      <c r="E44" s="21">
        <v>33</v>
      </c>
      <c r="F44" s="20"/>
      <c r="G44" s="20"/>
      <c r="H44" s="20"/>
      <c r="I44" s="24"/>
    </row>
    <row r="45" spans="2:9">
      <c r="B45" s="19"/>
      <c r="C45" s="20" t="s">
        <v>50</v>
      </c>
      <c r="D45" s="20"/>
      <c r="E45" s="21">
        <v>313144</v>
      </c>
      <c r="F45" s="20"/>
      <c r="G45" s="20"/>
      <c r="H45" s="20"/>
      <c r="I45" s="24"/>
    </row>
    <row r="46" spans="2:9">
      <c r="B46" s="19"/>
      <c r="C46" s="20" t="s">
        <v>51</v>
      </c>
      <c r="D46" s="20"/>
      <c r="E46" s="21">
        <v>186618</v>
      </c>
      <c r="F46" s="20"/>
      <c r="G46" s="20"/>
      <c r="H46" s="20"/>
      <c r="I46" s="24"/>
    </row>
    <row r="47" spans="2:9">
      <c r="B47" s="19"/>
      <c r="C47" s="20" t="s">
        <v>52</v>
      </c>
      <c r="D47" s="20"/>
      <c r="E47" s="21">
        <v>159984</v>
      </c>
      <c r="F47" s="20"/>
      <c r="G47" s="20"/>
      <c r="H47" s="20"/>
      <c r="I47" s="24"/>
    </row>
    <row r="48" spans="2:9">
      <c r="B48" s="19"/>
      <c r="C48" s="20" t="s">
        <v>53</v>
      </c>
      <c r="D48" s="20"/>
      <c r="E48" s="21">
        <v>362309</v>
      </c>
      <c r="F48" s="20"/>
      <c r="G48" s="20"/>
      <c r="H48" s="20"/>
      <c r="I48" s="24"/>
    </row>
    <row r="49" spans="2:9">
      <c r="B49" s="19"/>
      <c r="C49" s="20" t="s">
        <v>54</v>
      </c>
      <c r="D49" s="20"/>
      <c r="E49" s="21">
        <v>2775029</v>
      </c>
      <c r="F49" s="20"/>
      <c r="G49" s="20"/>
      <c r="H49" s="20"/>
      <c r="I49" s="24"/>
    </row>
    <row r="50" spans="2:9">
      <c r="B50" s="19"/>
      <c r="C50" s="20" t="s">
        <v>55</v>
      </c>
      <c r="D50" s="20"/>
      <c r="E50" s="21">
        <v>0</v>
      </c>
      <c r="F50" s="20"/>
      <c r="G50" s="20"/>
      <c r="H50" s="20"/>
      <c r="I50" s="24"/>
    </row>
    <row r="51" spans="2:9">
      <c r="B51" s="19"/>
      <c r="C51" s="20" t="s">
        <v>56</v>
      </c>
      <c r="D51" s="20"/>
      <c r="E51" s="21">
        <v>63</v>
      </c>
      <c r="F51" s="20"/>
      <c r="G51" s="20"/>
      <c r="H51" s="20"/>
      <c r="I51" s="24"/>
    </row>
    <row r="52" spans="2:9">
      <c r="B52" s="19"/>
      <c r="C52" s="20" t="s">
        <v>57</v>
      </c>
      <c r="D52" s="20"/>
      <c r="E52" s="21">
        <v>1311005</v>
      </c>
      <c r="F52" s="20"/>
      <c r="G52" s="20"/>
      <c r="H52" s="20"/>
      <c r="I52" s="24"/>
    </row>
    <row r="53" spans="2:9">
      <c r="B53" s="19"/>
      <c r="C53" s="20" t="s">
        <v>19</v>
      </c>
      <c r="D53" s="20"/>
      <c r="E53" s="21">
        <v>577799</v>
      </c>
      <c r="F53" s="20"/>
      <c r="G53" s="20"/>
      <c r="H53" s="20"/>
      <c r="I53" s="24"/>
    </row>
    <row r="54" spans="2:9">
      <c r="B54" s="19"/>
      <c r="C54" s="20" t="s">
        <v>58</v>
      </c>
      <c r="D54" s="20"/>
      <c r="E54" s="21">
        <v>197</v>
      </c>
      <c r="F54" s="20"/>
      <c r="G54" s="20"/>
      <c r="H54" s="20"/>
      <c r="I54" s="24"/>
    </row>
    <row r="55" spans="2:9">
      <c r="B55" s="19"/>
      <c r="C55" s="20" t="s">
        <v>59</v>
      </c>
      <c r="D55" s="20"/>
      <c r="E55" s="21">
        <v>0</v>
      </c>
      <c r="F55" s="20"/>
      <c r="G55" s="20"/>
      <c r="H55" s="20"/>
      <c r="I55" s="24"/>
    </row>
    <row r="56" spans="2:9">
      <c r="B56" s="19"/>
      <c r="C56" s="20" t="s">
        <v>60</v>
      </c>
      <c r="D56" s="20"/>
      <c r="E56" s="21">
        <v>0</v>
      </c>
      <c r="F56" s="20"/>
      <c r="G56" s="20"/>
      <c r="H56" s="20"/>
      <c r="I56" s="24"/>
    </row>
    <row r="57" spans="2:9">
      <c r="B57" s="19" t="s">
        <v>61</v>
      </c>
      <c r="C57" s="20"/>
      <c r="D57" s="20"/>
      <c r="E57" s="21"/>
      <c r="F57" s="20"/>
      <c r="G57" s="20"/>
      <c r="H57" s="20"/>
      <c r="I57" s="24"/>
    </row>
    <row r="58" spans="2:9">
      <c r="B58" s="19" t="s">
        <v>62</v>
      </c>
      <c r="C58" s="20" t="s">
        <v>63</v>
      </c>
      <c r="D58" s="20"/>
      <c r="E58" s="21">
        <v>0</v>
      </c>
      <c r="F58" s="20"/>
      <c r="G58" s="20"/>
      <c r="H58" s="20"/>
      <c r="I58" s="24"/>
    </row>
    <row r="59" spans="2:9">
      <c r="B59" s="19" t="s">
        <v>64</v>
      </c>
      <c r="C59" s="20" t="s">
        <v>65</v>
      </c>
      <c r="D59" s="20"/>
      <c r="E59" s="21">
        <v>8100000</v>
      </c>
      <c r="F59" s="20"/>
      <c r="G59" s="20"/>
      <c r="H59" s="20"/>
      <c r="I59" s="24"/>
    </row>
    <row r="60" spans="2:9">
      <c r="B60" s="19" t="s">
        <v>66</v>
      </c>
      <c r="C60" s="20"/>
      <c r="D60" s="20"/>
      <c r="E60" s="21"/>
      <c r="F60" s="20"/>
      <c r="G60" s="20"/>
      <c r="H60" s="20"/>
      <c r="I60" s="24"/>
    </row>
    <row r="61" spans="2:9">
      <c r="B61" s="19" t="s">
        <v>67</v>
      </c>
      <c r="C61" s="20" t="s">
        <v>68</v>
      </c>
      <c r="D61" s="20"/>
      <c r="E61" s="21">
        <v>1449316</v>
      </c>
      <c r="F61" s="20"/>
      <c r="G61" s="20"/>
      <c r="H61" s="20"/>
      <c r="I61" s="24"/>
    </row>
    <row r="62" spans="2:9">
      <c r="B62" s="19"/>
      <c r="C62" s="20" t="s">
        <v>69</v>
      </c>
      <c r="D62" s="20"/>
      <c r="E62" s="21">
        <v>1435775</v>
      </c>
      <c r="F62" s="20"/>
      <c r="G62" s="20"/>
      <c r="H62" s="20"/>
      <c r="I62" s="24"/>
    </row>
    <row r="63" spans="2:9">
      <c r="B63" s="19"/>
      <c r="C63" s="20" t="s">
        <v>70</v>
      </c>
      <c r="D63" s="20"/>
      <c r="E63" s="21">
        <v>1216216</v>
      </c>
      <c r="F63" s="20"/>
      <c r="G63" s="20"/>
      <c r="H63" s="20"/>
      <c r="I63" s="24"/>
    </row>
    <row r="64" spans="2:9">
      <c r="B64" s="19"/>
      <c r="C64" s="20" t="s">
        <v>71</v>
      </c>
      <c r="D64" s="20"/>
      <c r="E64" s="21">
        <v>116434</v>
      </c>
      <c r="F64" s="20"/>
      <c r="G64" s="20"/>
      <c r="H64" s="20"/>
      <c r="I64" s="24"/>
    </row>
    <row r="65" spans="2:9">
      <c r="B65" s="19"/>
      <c r="C65" s="20" t="s">
        <v>72</v>
      </c>
      <c r="D65" s="20"/>
      <c r="E65" s="21">
        <v>55100</v>
      </c>
      <c r="F65" s="20"/>
      <c r="G65" s="20"/>
      <c r="H65" s="20"/>
      <c r="I65" s="24"/>
    </row>
    <row r="66" spans="2:9">
      <c r="B66" s="19"/>
      <c r="C66" s="20" t="s">
        <v>73</v>
      </c>
      <c r="D66" s="20"/>
      <c r="E66" s="21">
        <v>1401</v>
      </c>
      <c r="F66" s="20"/>
      <c r="G66" s="20"/>
      <c r="H66" s="20"/>
      <c r="I66" s="24"/>
    </row>
    <row r="67" spans="2:9">
      <c r="B67" s="19"/>
      <c r="C67" s="20" t="s">
        <v>74</v>
      </c>
      <c r="D67" s="20"/>
      <c r="E67" s="21">
        <v>247269</v>
      </c>
      <c r="F67" s="20"/>
      <c r="G67" s="20"/>
      <c r="H67" s="20"/>
      <c r="I67" s="24"/>
    </row>
    <row r="68" spans="2:9">
      <c r="B68" s="19"/>
      <c r="C68" s="20" t="s">
        <v>75</v>
      </c>
      <c r="D68" s="20"/>
      <c r="E68" s="21">
        <v>58614.9558</v>
      </c>
      <c r="F68" s="20"/>
      <c r="G68" s="20"/>
      <c r="H68" s="20"/>
      <c r="I68" s="24"/>
    </row>
    <row r="69" spans="2:9">
      <c r="B69" s="19"/>
      <c r="C69" s="20" t="s">
        <v>76</v>
      </c>
      <c r="D69" s="20"/>
      <c r="E69" s="21">
        <v>19906.548</v>
      </c>
      <c r="F69" s="20"/>
      <c r="G69" s="20"/>
      <c r="H69" s="20"/>
      <c r="I69" s="24"/>
    </row>
    <row r="70" spans="2:9">
      <c r="B70" s="19"/>
      <c r="C70" s="20" t="s">
        <v>77</v>
      </c>
      <c r="D70" s="20"/>
      <c r="E70" s="21">
        <v>221146.6038</v>
      </c>
      <c r="F70" s="20"/>
      <c r="G70" s="20"/>
      <c r="H70" s="20"/>
      <c r="I70" s="24"/>
    </row>
    <row r="71" spans="2:9">
      <c r="B71" s="19"/>
      <c r="C71" s="20" t="s">
        <v>77</v>
      </c>
      <c r="D71" s="20"/>
      <c r="E71" s="21">
        <v>149147</v>
      </c>
      <c r="F71" s="20"/>
      <c r="G71" s="20"/>
      <c r="H71" s="20"/>
      <c r="I71" s="24"/>
    </row>
    <row r="72" spans="2:9">
      <c r="B72" s="19"/>
      <c r="C72" s="20" t="s">
        <v>78</v>
      </c>
      <c r="D72" s="20"/>
      <c r="E72" s="21">
        <v>387</v>
      </c>
      <c r="F72" s="20"/>
      <c r="G72" s="20"/>
      <c r="H72" s="20"/>
      <c r="I72" s="24"/>
    </row>
    <row r="73" spans="2:9">
      <c r="B73" s="19"/>
      <c r="C73" s="20" t="s">
        <v>79</v>
      </c>
      <c r="D73" s="20"/>
      <c r="E73" s="21">
        <v>302611.10238</v>
      </c>
      <c r="F73" s="20"/>
      <c r="G73" s="20"/>
      <c r="H73" s="20"/>
      <c r="I73" s="24"/>
    </row>
    <row r="74" spans="2:9">
      <c r="B74" s="19"/>
      <c r="C74" s="20" t="s">
        <v>80</v>
      </c>
      <c r="D74" s="20"/>
      <c r="E74" s="21">
        <v>92456</v>
      </c>
      <c r="F74" s="20"/>
      <c r="G74" s="20"/>
      <c r="H74" s="20"/>
      <c r="I74" s="24"/>
    </row>
    <row r="75" spans="2:9">
      <c r="B75" s="19"/>
      <c r="C75" s="20" t="s">
        <v>80</v>
      </c>
      <c r="D75" s="20"/>
      <c r="E75" s="21">
        <v>19640</v>
      </c>
      <c r="F75" s="20"/>
      <c r="G75" s="20"/>
      <c r="H75" s="20"/>
      <c r="I75" s="24"/>
    </row>
    <row r="76" spans="2:9">
      <c r="B76" s="19"/>
      <c r="C76" s="20" t="s">
        <v>80</v>
      </c>
      <c r="D76" s="20"/>
      <c r="E76" s="21">
        <v>3</v>
      </c>
      <c r="F76" s="20"/>
      <c r="G76" s="20"/>
      <c r="H76" s="20"/>
      <c r="I76" s="24"/>
    </row>
    <row r="77" spans="2:9">
      <c r="B77" s="19"/>
      <c r="C77" s="20" t="s">
        <v>80</v>
      </c>
      <c r="D77" s="20"/>
      <c r="E77" s="21">
        <v>1311005</v>
      </c>
      <c r="F77" s="20"/>
      <c r="G77" s="20"/>
      <c r="H77" s="20"/>
      <c r="I77" s="24"/>
    </row>
    <row r="78" spans="2:9">
      <c r="B78" s="19"/>
      <c r="C78" s="20" t="s">
        <v>81</v>
      </c>
      <c r="D78" s="20"/>
      <c r="E78" s="21">
        <v>1</v>
      </c>
      <c r="F78" s="20"/>
      <c r="G78" s="20"/>
      <c r="H78" s="20"/>
      <c r="I78" s="24"/>
    </row>
    <row r="79" spans="2:9">
      <c r="B79" s="19"/>
      <c r="C79" s="20" t="s">
        <v>82</v>
      </c>
      <c r="D79" s="20"/>
      <c r="E79" s="21">
        <v>70</v>
      </c>
      <c r="F79" s="20"/>
      <c r="G79" s="20"/>
      <c r="H79" s="20"/>
      <c r="I79" s="24"/>
    </row>
    <row r="80" spans="2:9">
      <c r="B80" s="19" t="s">
        <v>83</v>
      </c>
      <c r="C80" s="20"/>
      <c r="D80" s="20"/>
      <c r="E80" s="21"/>
      <c r="F80" s="20"/>
      <c r="G80" s="20"/>
      <c r="H80" s="20"/>
      <c r="I80" s="24"/>
    </row>
    <row r="81" spans="2:9">
      <c r="B81" s="19" t="s">
        <v>84</v>
      </c>
      <c r="C81" s="20"/>
      <c r="D81" s="20"/>
      <c r="E81" s="21"/>
      <c r="F81" s="20"/>
      <c r="G81" s="20"/>
      <c r="H81" s="20"/>
      <c r="I81" s="24"/>
    </row>
    <row r="82" spans="2:9">
      <c r="B82" s="19" t="s">
        <v>85</v>
      </c>
      <c r="C82" s="20"/>
      <c r="D82" s="20"/>
      <c r="E82" s="21"/>
      <c r="F82" s="20"/>
      <c r="G82" s="20"/>
      <c r="H82" s="20"/>
      <c r="I82" s="24"/>
    </row>
    <row r="83" spans="2:9">
      <c r="B83" s="19" t="s">
        <v>86</v>
      </c>
      <c r="C83" s="20" t="s">
        <v>87</v>
      </c>
      <c r="D83" s="20"/>
      <c r="E83" s="21">
        <v>0</v>
      </c>
      <c r="F83" s="20"/>
      <c r="G83" s="20"/>
      <c r="H83" s="20"/>
      <c r="I83" s="24"/>
    </row>
    <row r="84" spans="2:9">
      <c r="B84" s="19"/>
      <c r="C84" s="20" t="s">
        <v>88</v>
      </c>
      <c r="D84" s="20"/>
      <c r="E84" s="21">
        <v>0</v>
      </c>
      <c r="F84" s="20"/>
      <c r="G84" s="20"/>
      <c r="H84" s="20"/>
      <c r="I84" s="24"/>
    </row>
    <row r="85" spans="2:9">
      <c r="B85" s="19"/>
      <c r="C85" s="20" t="s">
        <v>89</v>
      </c>
      <c r="D85" s="20"/>
      <c r="E85" s="21">
        <v>0</v>
      </c>
      <c r="F85" s="20"/>
      <c r="G85" s="20"/>
      <c r="H85" s="20"/>
      <c r="I85" s="24"/>
    </row>
    <row r="86" spans="2:9">
      <c r="B86" s="19"/>
      <c r="C86" s="20" t="s">
        <v>90</v>
      </c>
      <c r="D86" s="20"/>
      <c r="E86" s="21">
        <v>0</v>
      </c>
      <c r="F86" s="20"/>
      <c r="G86" s="20"/>
      <c r="H86" s="20"/>
      <c r="I86" s="24"/>
    </row>
    <row r="87" spans="2:9">
      <c r="B87" s="19"/>
      <c r="C87" s="20" t="s">
        <v>91</v>
      </c>
      <c r="D87" s="20"/>
      <c r="E87" s="21">
        <v>0</v>
      </c>
      <c r="F87" s="20"/>
      <c r="G87" s="20"/>
      <c r="H87" s="20"/>
      <c r="I87" s="24"/>
    </row>
    <row r="88" spans="2:9">
      <c r="B88" s="19"/>
      <c r="C88" s="20" t="s">
        <v>91</v>
      </c>
      <c r="D88" s="20"/>
      <c r="E88" s="21">
        <v>0</v>
      </c>
      <c r="F88" s="20"/>
      <c r="G88" s="20"/>
      <c r="H88" s="20"/>
      <c r="I88" s="24"/>
    </row>
    <row r="89" spans="2:9">
      <c r="B89" s="19" t="s">
        <v>92</v>
      </c>
      <c r="C89" s="20" t="s">
        <v>93</v>
      </c>
      <c r="D89" s="20"/>
      <c r="E89" s="21">
        <v>5638013</v>
      </c>
      <c r="F89" s="20"/>
      <c r="G89" s="20"/>
      <c r="H89" s="20"/>
      <c r="I89" s="24"/>
    </row>
    <row r="90" spans="2:9">
      <c r="B90" s="19"/>
      <c r="C90" s="20" t="s">
        <v>94</v>
      </c>
      <c r="D90" s="20"/>
      <c r="E90" s="21">
        <v>3150000</v>
      </c>
      <c r="F90" s="20"/>
      <c r="G90" s="20"/>
      <c r="H90" s="20"/>
      <c r="I90" s="24"/>
    </row>
    <row r="91" spans="2:9">
      <c r="B91" s="25" t="s">
        <v>96</v>
      </c>
      <c r="C91" s="25"/>
      <c r="D91" s="25"/>
      <c r="E91" s="26">
        <f>SUM(E38:E90)</f>
        <v>0</v>
      </c>
      <c r="F91" s="27" t="s">
        <v>97</v>
      </c>
      <c r="G91" s="27"/>
      <c r="H91" s="27"/>
      <c r="I91" s="28">
        <f>SUM(I38:I90)</f>
        <v>0</v>
      </c>
    </row>
    <row r="92" spans="2:9">
      <c r="B92" s="29" t="s">
        <v>98</v>
      </c>
      <c r="C92" s="29"/>
      <c r="D92" s="29"/>
      <c r="E92" s="29"/>
      <c r="F92" s="29"/>
      <c r="G92" s="29"/>
      <c r="H92" s="29"/>
      <c r="I92" s="29"/>
    </row>
    <row r="93" spans="2:9">
      <c r="B93" s="30">
        <f>E91-I91</f>
        <v>0</v>
      </c>
      <c r="C93" s="30"/>
      <c r="D93" s="30"/>
      <c r="E93" s="30"/>
      <c r="F93" s="30"/>
      <c r="G93" s="30"/>
      <c r="H93" s="30"/>
      <c r="I93" s="30"/>
    </row>
    <row r="96" spans="2:9">
      <c r="B96" s="1" t="s">
        <v>99</v>
      </c>
    </row>
    <row r="97" spans="2:10">
      <c r="B97" t="s">
        <v>100</v>
      </c>
    </row>
    <row r="98" spans="2:10">
      <c r="B98" s="31" t="s">
        <v>101</v>
      </c>
      <c r="C98" s="32" t="s">
        <v>102</v>
      </c>
      <c r="D98" s="32"/>
      <c r="E98" s="32" t="s">
        <v>103</v>
      </c>
      <c r="F98" s="32" t="s">
        <v>104</v>
      </c>
      <c r="G98" s="32" t="s">
        <v>105</v>
      </c>
      <c r="H98" s="32" t="s">
        <v>106</v>
      </c>
    </row>
    <row r="99" spans="2:10">
      <c r="B99" s="33" t="s">
        <v>107</v>
      </c>
      <c r="C99" s="34" t="s">
        <v>87</v>
      </c>
      <c r="D99" s="34"/>
      <c r="E99" s="35" t="s">
        <v>108</v>
      </c>
      <c r="F99" s="36">
        <v>0</v>
      </c>
      <c r="G99" s="37">
        <v>43560</v>
      </c>
      <c r="H99" s="37">
        <v>49039</v>
      </c>
    </row>
    <row r="100" spans="2:10">
      <c r="B100" s="33" t="s">
        <v>107</v>
      </c>
      <c r="C100" s="34" t="s">
        <v>88</v>
      </c>
      <c r="D100" s="34"/>
      <c r="E100" s="35" t="s">
        <v>108</v>
      </c>
      <c r="F100" s="36">
        <v>0</v>
      </c>
      <c r="G100" s="37">
        <v>43585</v>
      </c>
      <c r="H100" s="37">
        <v>70979</v>
      </c>
    </row>
    <row r="101" spans="2:10">
      <c r="B101" s="33" t="s">
        <v>109</v>
      </c>
      <c r="C101" s="34" t="s">
        <v>89</v>
      </c>
      <c r="D101" s="34"/>
      <c r="E101" s="35" t="s">
        <v>108</v>
      </c>
      <c r="F101" s="36">
        <v>0</v>
      </c>
      <c r="G101" s="37">
        <v>45617</v>
      </c>
      <c r="H101" s="37">
        <v>71184</v>
      </c>
    </row>
    <row r="102" spans="2:10">
      <c r="B102" s="33" t="s">
        <v>107</v>
      </c>
      <c r="C102" s="34" t="s">
        <v>90</v>
      </c>
      <c r="D102" s="34"/>
      <c r="E102" s="35" t="s">
        <v>108</v>
      </c>
      <c r="F102" s="36">
        <v>0</v>
      </c>
      <c r="G102" s="37">
        <v>43511</v>
      </c>
      <c r="H102" s="37">
        <v>50816</v>
      </c>
    </row>
    <row r="103" spans="2:10">
      <c r="B103" s="33" t="s">
        <v>107</v>
      </c>
      <c r="C103" s="34" t="s">
        <v>91</v>
      </c>
      <c r="D103" s="34"/>
      <c r="E103" s="35" t="s">
        <v>108</v>
      </c>
      <c r="F103" s="36">
        <v>0</v>
      </c>
      <c r="G103" s="37">
        <v>43514</v>
      </c>
      <c r="H103" s="37">
        <v>48993</v>
      </c>
    </row>
    <row r="104" spans="2:10">
      <c r="B104" s="33" t="s">
        <v>107</v>
      </c>
      <c r="C104" s="34" t="s">
        <v>91</v>
      </c>
      <c r="D104" s="34"/>
      <c r="E104" s="35" t="s">
        <v>108</v>
      </c>
      <c r="F104" s="36">
        <v>0</v>
      </c>
      <c r="G104" s="37">
        <v>43517</v>
      </c>
      <c r="H104" s="37">
        <v>48996</v>
      </c>
    </row>
    <row r="105" spans="2:10">
      <c r="B105" s="38" t="s">
        <v>13</v>
      </c>
      <c r="C105" s="39" t="s">
        <v>110</v>
      </c>
      <c r="D105" s="39"/>
      <c r="E105" s="39" t="s">
        <v>111</v>
      </c>
      <c r="F105" s="39" t="s">
        <v>112</v>
      </c>
      <c r="G105" s="39"/>
      <c r="H105" s="40"/>
    </row>
    <row r="106" spans="2:10">
      <c r="B106" s="38"/>
      <c r="C106" s="41" t="s">
        <v>113</v>
      </c>
      <c r="D106" s="41"/>
      <c r="E106" s="41" t="s">
        <v>114</v>
      </c>
      <c r="F106" s="42">
        <f>SUM(F99:F104)</f>
        <v>0</v>
      </c>
      <c r="G106" s="41"/>
      <c r="H106" s="43"/>
    </row>
    <row r="108" spans="2:10">
      <c r="B108" s="1" t="s">
        <v>115</v>
      </c>
    </row>
    <row r="109" spans="2:10">
      <c r="B109" t="s">
        <v>116</v>
      </c>
    </row>
    <row r="110" spans="2:10">
      <c r="B110" s="31" t="s">
        <v>117</v>
      </c>
      <c r="C110" s="32" t="s">
        <v>101</v>
      </c>
      <c r="D110" s="32" t="s">
        <v>40</v>
      </c>
      <c r="E110" s="32"/>
      <c r="F110" s="32" t="s">
        <v>118</v>
      </c>
      <c r="G110" s="32" t="s">
        <v>119</v>
      </c>
      <c r="H110" s="32" t="s">
        <v>120</v>
      </c>
      <c r="I110" s="32" t="s">
        <v>121</v>
      </c>
      <c r="J110" s="32" t="s">
        <v>106</v>
      </c>
    </row>
    <row r="111" spans="2:10">
      <c r="B111" s="33" t="s">
        <v>122</v>
      </c>
      <c r="C111" s="34" t="s">
        <v>123</v>
      </c>
      <c r="D111" s="34" t="s">
        <v>68</v>
      </c>
      <c r="E111" s="34"/>
      <c r="F111" s="36">
        <v>1189611</v>
      </c>
      <c r="G111" s="36">
        <v>1449316</v>
      </c>
      <c r="H111" s="44">
        <v>21.83108596003231</v>
      </c>
      <c r="I111" s="37"/>
      <c r="J111" s="37"/>
    </row>
    <row r="112" spans="2:10">
      <c r="B112" s="33" t="s">
        <v>122</v>
      </c>
      <c r="C112" s="34" t="s">
        <v>123</v>
      </c>
      <c r="D112" s="34" t="s">
        <v>69</v>
      </c>
      <c r="E112" s="34"/>
      <c r="F112" s="36">
        <v>1244139</v>
      </c>
      <c r="G112" s="36">
        <v>1435775</v>
      </c>
      <c r="H112" s="44">
        <v>15.40310206496219</v>
      </c>
      <c r="I112" s="37"/>
      <c r="J112" s="37"/>
    </row>
    <row r="113" spans="2:10">
      <c r="B113" s="33" t="s">
        <v>122</v>
      </c>
      <c r="C113" s="34" t="s">
        <v>123</v>
      </c>
      <c r="D113" s="34" t="s">
        <v>70</v>
      </c>
      <c r="E113" s="34"/>
      <c r="F113" s="36">
        <v>1355824</v>
      </c>
      <c r="G113" s="36">
        <v>1216216</v>
      </c>
      <c r="H113" s="44">
        <v>-10.29691169355315</v>
      </c>
      <c r="I113" s="37"/>
      <c r="J113" s="37"/>
    </row>
    <row r="114" spans="2:10">
      <c r="B114" s="33" t="s">
        <v>122</v>
      </c>
      <c r="C114" s="34" t="s">
        <v>123</v>
      </c>
      <c r="D114" s="34" t="s">
        <v>71</v>
      </c>
      <c r="E114" s="34"/>
      <c r="F114" s="36">
        <v>192590</v>
      </c>
      <c r="G114" s="36">
        <v>116434</v>
      </c>
      <c r="H114" s="44">
        <v>-39.54307077210655</v>
      </c>
      <c r="I114" s="37"/>
      <c r="J114" s="37"/>
    </row>
    <row r="115" spans="2:10">
      <c r="B115" s="33" t="s">
        <v>122</v>
      </c>
      <c r="C115" s="34" t="s">
        <v>124</v>
      </c>
      <c r="D115" s="34" t="s">
        <v>72</v>
      </c>
      <c r="E115" s="34"/>
      <c r="F115" s="36">
        <v>83000</v>
      </c>
      <c r="G115" s="36">
        <v>55100</v>
      </c>
      <c r="H115" s="44">
        <v>-33.6144578313253</v>
      </c>
      <c r="I115" s="37"/>
      <c r="J115" s="37"/>
    </row>
    <row r="116" spans="2:10">
      <c r="B116" s="33" t="s">
        <v>122</v>
      </c>
      <c r="C116" s="34" t="s">
        <v>125</v>
      </c>
      <c r="D116" s="34" t="s">
        <v>73</v>
      </c>
      <c r="E116" s="34"/>
      <c r="F116" s="36">
        <v>1399</v>
      </c>
      <c r="G116" s="36">
        <v>1401</v>
      </c>
      <c r="H116" s="44">
        <v>0.1429592566118656</v>
      </c>
      <c r="I116" s="37"/>
      <c r="J116" s="37"/>
    </row>
    <row r="117" spans="2:10">
      <c r="B117" s="45" t="s">
        <v>13</v>
      </c>
      <c r="C117" s="39"/>
      <c r="D117" s="39" t="s">
        <v>126</v>
      </c>
      <c r="E117" s="39"/>
      <c r="F117" s="39" t="s">
        <v>127</v>
      </c>
      <c r="G117" s="39" t="s">
        <v>128</v>
      </c>
      <c r="H117" s="39" t="s">
        <v>129</v>
      </c>
      <c r="I117" s="39"/>
      <c r="J117" s="40"/>
    </row>
    <row r="118" spans="2:10">
      <c r="B118" s="45"/>
      <c r="C118" s="41"/>
      <c r="D118" s="41" t="s">
        <v>130</v>
      </c>
      <c r="E118" s="41"/>
      <c r="F118" s="42">
        <f>SUM(F111:F116)</f>
        <v>0</v>
      </c>
      <c r="G118" s="42">
        <f>SUM(G111:G116)</f>
        <v>0</v>
      </c>
      <c r="H118" s="46">
        <f>(SUM(G111:G116) - SUM(F111:F116)) * 100 / IF(SUM(F111:F116), SUM(F111:F116), 1)</f>
        <v>0</v>
      </c>
      <c r="I118" s="41"/>
      <c r="J118" s="43"/>
    </row>
    <row r="120" spans="2:10">
      <c r="B120" s="1" t="s">
        <v>131</v>
      </c>
    </row>
    <row r="121" spans="2:10">
      <c r="B121" t="s">
        <v>132</v>
      </c>
    </row>
    <row r="122" spans="2:10">
      <c r="B122" s="47" t="s">
        <v>133</v>
      </c>
      <c r="C122" s="48" t="s">
        <v>101</v>
      </c>
      <c r="D122" s="48" t="s">
        <v>40</v>
      </c>
      <c r="E122" s="48"/>
      <c r="F122" s="48" t="s">
        <v>134</v>
      </c>
      <c r="G122" s="48" t="s">
        <v>135</v>
      </c>
      <c r="H122" s="48" t="s">
        <v>136</v>
      </c>
      <c r="I122" s="48" t="s">
        <v>137</v>
      </c>
      <c r="J122" s="48" t="s">
        <v>138</v>
      </c>
    </row>
    <row r="123" spans="2:10">
      <c r="B123" s="33"/>
      <c r="C123" s="34"/>
      <c r="D123" s="34"/>
      <c r="E123" s="34"/>
      <c r="F123" s="34"/>
      <c r="G123" s="34"/>
      <c r="H123" s="34"/>
      <c r="I123" s="34"/>
      <c r="J123" s="34"/>
    </row>
    <row r="124" spans="2:10">
      <c r="B124" s="45" t="s">
        <v>13</v>
      </c>
      <c r="C124" s="39"/>
      <c r="D124" s="39" t="s">
        <v>139</v>
      </c>
      <c r="E124" s="39"/>
      <c r="F124" s="39" t="s">
        <v>140</v>
      </c>
      <c r="G124" s="39" t="s">
        <v>141</v>
      </c>
      <c r="H124" s="39"/>
      <c r="I124" s="39"/>
      <c r="J124" s="40"/>
    </row>
    <row r="125" spans="2:10">
      <c r="B125" s="45"/>
      <c r="C125" s="41"/>
      <c r="D125" s="42">
        <f>SUM(0)</f>
        <v>0</v>
      </c>
      <c r="E125" s="42"/>
      <c r="F125" s="42">
        <f>SUM(F123)</f>
        <v>0</v>
      </c>
      <c r="G125" s="42">
        <f>SUM(G123)</f>
        <v>0</v>
      </c>
      <c r="H125" s="41"/>
      <c r="I125" s="41"/>
      <c r="J125" s="43"/>
    </row>
  </sheetData>
  <mergeCells count="145">
    <mergeCell ref="F5:G5"/>
    <mergeCell ref="F6:G6"/>
    <mergeCell ref="B36:E36"/>
    <mergeCell ref="F36:I36"/>
    <mergeCell ref="C37:D37"/>
    <mergeCell ref="G37:H37"/>
    <mergeCell ref="B38:B56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B61:B79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B83:B88"/>
    <mergeCell ref="C83:D83"/>
    <mergeCell ref="C84:D84"/>
    <mergeCell ref="C85:D85"/>
    <mergeCell ref="C86:D86"/>
    <mergeCell ref="C87:D87"/>
    <mergeCell ref="C88:D88"/>
    <mergeCell ref="B89:B90"/>
    <mergeCell ref="C89:D89"/>
    <mergeCell ref="C90:D90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B91:D91"/>
    <mergeCell ref="F91:H91"/>
    <mergeCell ref="B92:I92"/>
    <mergeCell ref="B93:I93"/>
    <mergeCell ref="C98:D98"/>
    <mergeCell ref="C99:D99"/>
    <mergeCell ref="C100:D100"/>
    <mergeCell ref="C101:D101"/>
    <mergeCell ref="C102:D102"/>
    <mergeCell ref="C103:D103"/>
    <mergeCell ref="C104:D104"/>
    <mergeCell ref="B105:B106"/>
    <mergeCell ref="C105:D105"/>
    <mergeCell ref="C106:D106"/>
    <mergeCell ref="D110:E110"/>
    <mergeCell ref="D111:E111"/>
    <mergeCell ref="D112:E112"/>
    <mergeCell ref="D113:E113"/>
    <mergeCell ref="D114:E114"/>
    <mergeCell ref="D115:E115"/>
    <mergeCell ref="D116:E116"/>
    <mergeCell ref="B117:B118"/>
    <mergeCell ref="D117:E117"/>
    <mergeCell ref="D118:E118"/>
    <mergeCell ref="D122:E122"/>
    <mergeCell ref="D123:E123"/>
    <mergeCell ref="B124:B125"/>
    <mergeCell ref="D124:E124"/>
    <mergeCell ref="D125:E1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2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142</v>
      </c>
      <c r="B1" s="49" t="s">
        <v>143</v>
      </c>
      <c r="C1" s="49" t="s">
        <v>144</v>
      </c>
      <c r="D1" s="49" t="s">
        <v>145</v>
      </c>
      <c r="E1" s="49" t="s">
        <v>146</v>
      </c>
      <c r="F1" s="49" t="s">
        <v>147</v>
      </c>
      <c r="G1" s="49" t="s">
        <v>41</v>
      </c>
      <c r="H1" s="49" t="s">
        <v>148</v>
      </c>
      <c r="I1" s="49" t="s">
        <v>149</v>
      </c>
      <c r="J1" s="49" t="s">
        <v>150</v>
      </c>
    </row>
    <row r="2" spans="1:10">
      <c r="A2" s="50">
        <v>46294</v>
      </c>
      <c r="B2" s="51">
        <v>0.9923611111111111</v>
      </c>
      <c r="C2" t="s">
        <v>151</v>
      </c>
      <c r="D2" t="s">
        <v>23</v>
      </c>
      <c r="E2" t="s">
        <v>152</v>
      </c>
      <c r="F2" t="s">
        <v>153</v>
      </c>
      <c r="G2">
        <v>-60840</v>
      </c>
      <c r="H2" t="s">
        <v>154</v>
      </c>
      <c r="I2" t="s">
        <v>155</v>
      </c>
    </row>
    <row r="3" spans="1:10">
      <c r="A3" s="50">
        <v>46293</v>
      </c>
      <c r="B3" s="51">
        <v>0.9430671296296296</v>
      </c>
      <c r="C3" t="s">
        <v>156</v>
      </c>
      <c r="D3" t="s">
        <v>157</v>
      </c>
      <c r="E3" t="s">
        <v>158</v>
      </c>
      <c r="F3" t="s">
        <v>159</v>
      </c>
      <c r="G3">
        <v>-10999</v>
      </c>
      <c r="H3" t="s">
        <v>154</v>
      </c>
      <c r="I3" t="s">
        <v>43</v>
      </c>
    </row>
    <row r="4" spans="1:10">
      <c r="A4" s="50">
        <v>46293</v>
      </c>
      <c r="B4" s="51">
        <v>0.9429282407407408</v>
      </c>
      <c r="C4" t="s">
        <v>156</v>
      </c>
      <c r="D4" t="s">
        <v>160</v>
      </c>
      <c r="E4" t="s">
        <v>158</v>
      </c>
      <c r="F4" t="s">
        <v>7</v>
      </c>
      <c r="G4">
        <v>10999</v>
      </c>
      <c r="H4" t="s">
        <v>154</v>
      </c>
      <c r="I4" t="s">
        <v>43</v>
      </c>
    </row>
    <row r="5" spans="1:10">
      <c r="A5" s="50">
        <v>46293</v>
      </c>
      <c r="B5" s="51">
        <v>0.9063425925925926</v>
      </c>
      <c r="C5" t="s">
        <v>151</v>
      </c>
      <c r="D5" t="s">
        <v>25</v>
      </c>
      <c r="E5" t="s">
        <v>158</v>
      </c>
      <c r="F5" t="s">
        <v>161</v>
      </c>
      <c r="G5">
        <v>-28000</v>
      </c>
      <c r="H5" t="s">
        <v>154</v>
      </c>
      <c r="I5" t="s">
        <v>162</v>
      </c>
    </row>
    <row r="6" spans="1:10">
      <c r="A6" s="50">
        <v>46293</v>
      </c>
      <c r="B6" s="51">
        <v>0.7626273148148148</v>
      </c>
      <c r="C6" t="s">
        <v>151</v>
      </c>
      <c r="D6" t="s">
        <v>30</v>
      </c>
      <c r="E6" t="s">
        <v>163</v>
      </c>
      <c r="F6" t="s">
        <v>164</v>
      </c>
      <c r="G6">
        <v>-7750</v>
      </c>
      <c r="H6" t="s">
        <v>154</v>
      </c>
      <c r="I6" t="s">
        <v>165</v>
      </c>
    </row>
    <row r="7" spans="1:10">
      <c r="A7" s="50">
        <v>46293</v>
      </c>
      <c r="B7" s="51">
        <v>0.7619791666666667</v>
      </c>
      <c r="C7" t="s">
        <v>151</v>
      </c>
      <c r="D7" t="s">
        <v>30</v>
      </c>
      <c r="E7" t="s">
        <v>163</v>
      </c>
      <c r="F7" t="s">
        <v>166</v>
      </c>
      <c r="G7">
        <v>7750</v>
      </c>
      <c r="H7" t="s">
        <v>154</v>
      </c>
      <c r="I7" t="s">
        <v>165</v>
      </c>
    </row>
    <row r="8" spans="1:10">
      <c r="A8" s="50">
        <v>46293</v>
      </c>
      <c r="B8" s="51">
        <v>0.7603240740740741</v>
      </c>
      <c r="C8" t="s">
        <v>151</v>
      </c>
      <c r="D8" t="s">
        <v>30</v>
      </c>
      <c r="E8" t="s">
        <v>163</v>
      </c>
      <c r="F8" t="s">
        <v>166</v>
      </c>
      <c r="G8">
        <v>-7750</v>
      </c>
      <c r="H8" t="s">
        <v>154</v>
      </c>
      <c r="I8" t="s">
        <v>165</v>
      </c>
    </row>
    <row r="9" spans="1:10">
      <c r="A9" s="50">
        <v>46293</v>
      </c>
      <c r="B9" s="51">
        <v>0.6397569444444444</v>
      </c>
      <c r="C9" t="s">
        <v>151</v>
      </c>
      <c r="D9" t="s">
        <v>30</v>
      </c>
      <c r="E9" t="s">
        <v>163</v>
      </c>
      <c r="F9" t="s">
        <v>166</v>
      </c>
      <c r="G9">
        <v>-6900</v>
      </c>
      <c r="H9" t="s">
        <v>154</v>
      </c>
      <c r="I9" t="s">
        <v>165</v>
      </c>
    </row>
    <row r="10" spans="1:10">
      <c r="A10" s="50">
        <v>46293</v>
      </c>
      <c r="B10" s="51">
        <v>0.4650810185185185</v>
      </c>
      <c r="C10" t="s">
        <v>156</v>
      </c>
      <c r="D10" t="s">
        <v>156</v>
      </c>
      <c r="E10" t="s">
        <v>158</v>
      </c>
      <c r="F10" t="s">
        <v>167</v>
      </c>
      <c r="G10">
        <v>7153</v>
      </c>
      <c r="H10" t="s">
        <v>154</v>
      </c>
      <c r="I10" t="s">
        <v>57</v>
      </c>
    </row>
    <row r="11" spans="1:10">
      <c r="A11" s="50">
        <v>46293</v>
      </c>
      <c r="B11" s="51">
        <v>0.4622337962962963</v>
      </c>
      <c r="C11" t="s">
        <v>151</v>
      </c>
      <c r="D11" t="s">
        <v>27</v>
      </c>
      <c r="E11" t="s">
        <v>168</v>
      </c>
      <c r="F11" t="s">
        <v>169</v>
      </c>
      <c r="G11">
        <v>-8500</v>
      </c>
      <c r="H11" t="s">
        <v>154</v>
      </c>
      <c r="I11" t="s">
        <v>165</v>
      </c>
    </row>
    <row r="12" spans="1:10">
      <c r="A12" s="50">
        <v>46293</v>
      </c>
      <c r="B12" s="51">
        <v>0.4515393518518518</v>
      </c>
      <c r="C12" t="s">
        <v>151</v>
      </c>
      <c r="D12" t="s">
        <v>30</v>
      </c>
      <c r="E12" t="s">
        <v>170</v>
      </c>
      <c r="F12" t="s">
        <v>171</v>
      </c>
      <c r="G12">
        <v>-100</v>
      </c>
      <c r="H12" t="s">
        <v>154</v>
      </c>
      <c r="I12" t="s">
        <v>172</v>
      </c>
    </row>
    <row r="13" spans="1:10">
      <c r="A13" s="50">
        <v>46292</v>
      </c>
      <c r="B13" s="51">
        <v>0.8286342592592593</v>
      </c>
      <c r="C13" t="s">
        <v>151</v>
      </c>
      <c r="D13" t="s">
        <v>32</v>
      </c>
      <c r="E13" t="s">
        <v>158</v>
      </c>
      <c r="F13" t="s">
        <v>173</v>
      </c>
      <c r="G13">
        <v>-6900</v>
      </c>
      <c r="H13" t="s">
        <v>154</v>
      </c>
      <c r="I13" t="s">
        <v>165</v>
      </c>
    </row>
    <row r="14" spans="1:10">
      <c r="A14" s="50">
        <v>46292</v>
      </c>
      <c r="B14" s="51">
        <v>0.8130902777777778</v>
      </c>
      <c r="C14" t="s">
        <v>151</v>
      </c>
      <c r="D14" t="s">
        <v>27</v>
      </c>
      <c r="E14" t="s">
        <v>174</v>
      </c>
      <c r="F14" t="s">
        <v>175</v>
      </c>
      <c r="G14">
        <v>-10000</v>
      </c>
      <c r="H14" t="s">
        <v>154</v>
      </c>
      <c r="I14" t="s">
        <v>165</v>
      </c>
    </row>
    <row r="15" spans="1:10">
      <c r="A15" s="50">
        <v>46292</v>
      </c>
      <c r="B15" s="51">
        <v>0.7028819444444444</v>
      </c>
      <c r="C15" t="s">
        <v>151</v>
      </c>
      <c r="D15" t="s">
        <v>32</v>
      </c>
      <c r="E15" t="s">
        <v>158</v>
      </c>
      <c r="F15" t="s">
        <v>176</v>
      </c>
      <c r="G15">
        <v>-4200</v>
      </c>
      <c r="H15" t="s">
        <v>154</v>
      </c>
      <c r="I15" t="s">
        <v>165</v>
      </c>
    </row>
    <row r="16" spans="1:10">
      <c r="A16" s="50">
        <v>46292</v>
      </c>
      <c r="B16" s="51">
        <v>0.5986921296296296</v>
      </c>
      <c r="C16" t="s">
        <v>151</v>
      </c>
      <c r="D16" t="s">
        <v>26</v>
      </c>
      <c r="E16" t="s">
        <v>177</v>
      </c>
      <c r="F16" t="s">
        <v>178</v>
      </c>
      <c r="G16">
        <v>-3000</v>
      </c>
      <c r="H16" t="s">
        <v>154</v>
      </c>
      <c r="I16" t="s">
        <v>179</v>
      </c>
    </row>
    <row r="17" spans="1:9">
      <c r="A17" s="50">
        <v>46292</v>
      </c>
      <c r="B17" s="51">
        <v>0.5718402777777778</v>
      </c>
      <c r="C17" t="s">
        <v>151</v>
      </c>
      <c r="D17" t="s">
        <v>30</v>
      </c>
      <c r="E17" t="s">
        <v>163</v>
      </c>
      <c r="F17" t="s">
        <v>164</v>
      </c>
      <c r="G17">
        <v>-8910</v>
      </c>
      <c r="H17" t="s">
        <v>154</v>
      </c>
      <c r="I17" t="s">
        <v>165</v>
      </c>
    </row>
    <row r="18" spans="1:9">
      <c r="A18" s="50">
        <v>46292</v>
      </c>
      <c r="B18" s="51">
        <v>0.03810185185185185</v>
      </c>
      <c r="C18" t="s">
        <v>151</v>
      </c>
      <c r="D18" t="s">
        <v>30</v>
      </c>
      <c r="E18" t="s">
        <v>163</v>
      </c>
      <c r="F18" t="s">
        <v>164</v>
      </c>
      <c r="G18">
        <v>-14870</v>
      </c>
      <c r="H18" t="s">
        <v>154</v>
      </c>
      <c r="I18" t="s">
        <v>180</v>
      </c>
    </row>
    <row r="19" spans="1:9">
      <c r="A19" s="50">
        <v>46292</v>
      </c>
      <c r="B19" s="51">
        <v>0.02792824074074074</v>
      </c>
      <c r="C19" t="s">
        <v>151</v>
      </c>
      <c r="D19" t="s">
        <v>30</v>
      </c>
      <c r="E19" t="s">
        <v>163</v>
      </c>
      <c r="F19" t="s">
        <v>164</v>
      </c>
      <c r="G19">
        <v>-14999</v>
      </c>
      <c r="H19" t="s">
        <v>154</v>
      </c>
      <c r="I19" t="s">
        <v>165</v>
      </c>
    </row>
    <row r="20" spans="1:9">
      <c r="A20" s="50">
        <v>46291</v>
      </c>
      <c r="B20" s="51">
        <v>0.3964930555555555</v>
      </c>
      <c r="C20" t="s">
        <v>151</v>
      </c>
      <c r="D20" t="s">
        <v>30</v>
      </c>
      <c r="E20" t="s">
        <v>170</v>
      </c>
      <c r="F20" t="s">
        <v>181</v>
      </c>
      <c r="G20">
        <v>-7900</v>
      </c>
      <c r="H20" t="s">
        <v>154</v>
      </c>
      <c r="I20" t="s">
        <v>172</v>
      </c>
    </row>
    <row r="21" spans="1:9">
      <c r="A21" s="50">
        <v>46291</v>
      </c>
      <c r="B21" s="51">
        <v>0.2776157407407407</v>
      </c>
      <c r="C21" t="s">
        <v>182</v>
      </c>
      <c r="D21" t="s">
        <v>16</v>
      </c>
      <c r="E21" t="s">
        <v>158</v>
      </c>
      <c r="F21" t="s">
        <v>183</v>
      </c>
      <c r="G21">
        <v>12</v>
      </c>
      <c r="H21" t="s">
        <v>154</v>
      </c>
      <c r="I21" t="s">
        <v>52</v>
      </c>
    </row>
    <row r="22" spans="1:9">
      <c r="A22" s="50">
        <v>46291</v>
      </c>
      <c r="B22" s="51">
        <v>0.2424189814814815</v>
      </c>
      <c r="C22" t="s">
        <v>182</v>
      </c>
      <c r="D22" t="s">
        <v>16</v>
      </c>
      <c r="E22" t="s">
        <v>158</v>
      </c>
      <c r="F22" t="s">
        <v>183</v>
      </c>
      <c r="G22">
        <v>68</v>
      </c>
      <c r="H22" t="s">
        <v>154</v>
      </c>
      <c r="I22" t="s">
        <v>19</v>
      </c>
    </row>
    <row r="23" spans="1:9">
      <c r="A23" s="50">
        <v>46291</v>
      </c>
      <c r="B23" s="51">
        <v>0.2346875</v>
      </c>
      <c r="C23" t="s">
        <v>182</v>
      </c>
      <c r="D23" t="s">
        <v>16</v>
      </c>
      <c r="E23" t="s">
        <v>158</v>
      </c>
      <c r="F23" t="s">
        <v>183</v>
      </c>
      <c r="G23">
        <v>10</v>
      </c>
      <c r="H23" t="s">
        <v>154</v>
      </c>
      <c r="I23" t="s">
        <v>51</v>
      </c>
    </row>
    <row r="24" spans="1:9">
      <c r="A24" s="50">
        <v>46291</v>
      </c>
      <c r="B24" s="51">
        <v>0.1883217592592593</v>
      </c>
      <c r="C24" t="s">
        <v>182</v>
      </c>
      <c r="D24" t="s">
        <v>16</v>
      </c>
      <c r="E24" t="s">
        <v>158</v>
      </c>
      <c r="F24" t="s">
        <v>183</v>
      </c>
      <c r="G24">
        <v>29</v>
      </c>
      <c r="H24" t="s">
        <v>154</v>
      </c>
      <c r="I24" t="s">
        <v>43</v>
      </c>
    </row>
    <row r="25" spans="1:9">
      <c r="A25" s="50">
        <v>46291</v>
      </c>
      <c r="B25" s="51">
        <v>0.1551157407407407</v>
      </c>
      <c r="C25" t="s">
        <v>182</v>
      </c>
      <c r="D25" t="s">
        <v>16</v>
      </c>
      <c r="E25" t="s">
        <v>158</v>
      </c>
      <c r="F25" t="s">
        <v>183</v>
      </c>
      <c r="G25">
        <v>76</v>
      </c>
      <c r="H25" t="s">
        <v>154</v>
      </c>
      <c r="I25" t="s">
        <v>54</v>
      </c>
    </row>
    <row r="26" spans="1:9">
      <c r="A26" s="50">
        <v>46291</v>
      </c>
      <c r="B26" s="51">
        <v>0.1234490740740741</v>
      </c>
      <c r="C26" t="s">
        <v>156</v>
      </c>
      <c r="D26" t="s">
        <v>184</v>
      </c>
      <c r="E26" t="s">
        <v>158</v>
      </c>
      <c r="F26" t="s">
        <v>185</v>
      </c>
      <c r="G26">
        <v>0</v>
      </c>
      <c r="H26" t="s">
        <v>154</v>
      </c>
      <c r="I26" t="s">
        <v>58</v>
      </c>
    </row>
    <row r="27" spans="1:9">
      <c r="A27" s="50">
        <v>46291</v>
      </c>
      <c r="B27" s="51">
        <v>0.1191435185185185</v>
      </c>
      <c r="C27" t="s">
        <v>156</v>
      </c>
      <c r="D27" t="s">
        <v>184</v>
      </c>
      <c r="E27" t="s">
        <v>158</v>
      </c>
      <c r="F27" t="s">
        <v>185</v>
      </c>
      <c r="G27">
        <v>0</v>
      </c>
      <c r="H27" t="s">
        <v>154</v>
      </c>
      <c r="I27" t="s">
        <v>56</v>
      </c>
    </row>
    <row r="28" spans="1:9">
      <c r="A28" s="50">
        <v>46291</v>
      </c>
      <c r="B28" s="51">
        <v>0.08949074074074075</v>
      </c>
      <c r="C28" t="s">
        <v>156</v>
      </c>
      <c r="D28" t="s">
        <v>184</v>
      </c>
      <c r="E28" t="s">
        <v>158</v>
      </c>
      <c r="F28" t="s">
        <v>185</v>
      </c>
      <c r="G28">
        <v>0</v>
      </c>
      <c r="H28" t="s">
        <v>154</v>
      </c>
      <c r="I28" t="s">
        <v>44</v>
      </c>
    </row>
    <row r="29" spans="1:9">
      <c r="A29" s="50">
        <v>46291</v>
      </c>
      <c r="B29" s="51">
        <v>0.0790162037037037</v>
      </c>
      <c r="C29" t="s">
        <v>156</v>
      </c>
      <c r="D29" t="s">
        <v>184</v>
      </c>
      <c r="E29" t="s">
        <v>158</v>
      </c>
      <c r="F29" t="s">
        <v>185</v>
      </c>
      <c r="G29">
        <v>0</v>
      </c>
      <c r="H29" t="s">
        <v>154</v>
      </c>
      <c r="I29" t="s">
        <v>55</v>
      </c>
    </row>
    <row r="30" spans="1:9">
      <c r="A30" s="50">
        <v>46290</v>
      </c>
      <c r="B30" s="51">
        <v>0.7647916666666666</v>
      </c>
      <c r="C30" t="s">
        <v>151</v>
      </c>
      <c r="D30" t="s">
        <v>23</v>
      </c>
      <c r="E30" t="s">
        <v>186</v>
      </c>
      <c r="F30" t="s">
        <v>187</v>
      </c>
      <c r="G30">
        <v>-1000</v>
      </c>
      <c r="H30" t="s">
        <v>154</v>
      </c>
      <c r="I30" t="s">
        <v>165</v>
      </c>
    </row>
    <row r="31" spans="1:9">
      <c r="A31" s="50">
        <v>46290</v>
      </c>
      <c r="B31" s="51">
        <v>0.7639930555555555</v>
      </c>
      <c r="C31" t="s">
        <v>151</v>
      </c>
      <c r="D31" t="s">
        <v>23</v>
      </c>
      <c r="E31" t="s">
        <v>186</v>
      </c>
      <c r="F31" t="s">
        <v>187</v>
      </c>
      <c r="G31">
        <v>-20000</v>
      </c>
      <c r="H31" t="s">
        <v>154</v>
      </c>
      <c r="I31" t="s">
        <v>165</v>
      </c>
    </row>
    <row r="32" spans="1:9">
      <c r="A32" s="50">
        <v>46289</v>
      </c>
      <c r="B32" s="51">
        <v>0.9298263888888889</v>
      </c>
      <c r="C32" t="s">
        <v>151</v>
      </c>
      <c r="D32" t="s">
        <v>30</v>
      </c>
      <c r="E32" t="s">
        <v>163</v>
      </c>
      <c r="F32" t="s">
        <v>166</v>
      </c>
      <c r="G32">
        <v>-20990</v>
      </c>
      <c r="H32" t="s">
        <v>154</v>
      </c>
      <c r="I32" t="s">
        <v>165</v>
      </c>
    </row>
    <row r="33" spans="1:9">
      <c r="A33" s="50">
        <v>46289</v>
      </c>
      <c r="B33" s="51">
        <v>0.4779050925925926</v>
      </c>
      <c r="C33" t="s">
        <v>151</v>
      </c>
      <c r="D33" t="s">
        <v>30</v>
      </c>
      <c r="E33" t="s">
        <v>170</v>
      </c>
      <c r="F33" t="s">
        <v>188</v>
      </c>
      <c r="G33">
        <v>-49800</v>
      </c>
      <c r="H33" t="s">
        <v>154</v>
      </c>
      <c r="I33" t="s">
        <v>180</v>
      </c>
    </row>
    <row r="34" spans="1:9">
      <c r="A34" s="50">
        <v>46289</v>
      </c>
      <c r="B34" s="51">
        <v>0.08681712962962963</v>
      </c>
      <c r="C34" t="s">
        <v>151</v>
      </c>
      <c r="D34" t="s">
        <v>22</v>
      </c>
      <c r="E34" t="s">
        <v>189</v>
      </c>
      <c r="F34" t="s">
        <v>190</v>
      </c>
      <c r="G34">
        <v>-16810</v>
      </c>
      <c r="H34" t="s">
        <v>154</v>
      </c>
      <c r="I34" t="s">
        <v>191</v>
      </c>
    </row>
    <row r="35" spans="1:9">
      <c r="A35" s="50">
        <v>46289</v>
      </c>
      <c r="B35" s="51">
        <v>0.07026620370370371</v>
      </c>
      <c r="C35" t="s">
        <v>151</v>
      </c>
      <c r="D35" t="s">
        <v>22</v>
      </c>
      <c r="E35" t="s">
        <v>189</v>
      </c>
      <c r="F35" t="s">
        <v>190</v>
      </c>
      <c r="G35">
        <v>-16700</v>
      </c>
      <c r="H35" t="s">
        <v>154</v>
      </c>
      <c r="I35" t="s">
        <v>191</v>
      </c>
    </row>
    <row r="36" spans="1:9">
      <c r="A36" s="50">
        <v>46289</v>
      </c>
      <c r="B36" s="51">
        <v>0.07026620370370371</v>
      </c>
      <c r="C36" t="s">
        <v>151</v>
      </c>
      <c r="D36" t="s">
        <v>22</v>
      </c>
      <c r="E36" t="s">
        <v>189</v>
      </c>
      <c r="F36" t="s">
        <v>190</v>
      </c>
      <c r="G36">
        <v>16700</v>
      </c>
      <c r="H36" t="s">
        <v>154</v>
      </c>
      <c r="I36" t="s">
        <v>191</v>
      </c>
    </row>
    <row r="37" spans="1:9">
      <c r="A37" s="50">
        <v>46289</v>
      </c>
      <c r="B37" s="51">
        <v>0.06909722222222223</v>
      </c>
      <c r="C37" t="s">
        <v>151</v>
      </c>
      <c r="D37" t="s">
        <v>22</v>
      </c>
      <c r="E37" t="s">
        <v>189</v>
      </c>
      <c r="F37" t="s">
        <v>192</v>
      </c>
      <c r="G37">
        <v>-16700</v>
      </c>
      <c r="H37" t="s">
        <v>154</v>
      </c>
      <c r="I37" t="s">
        <v>191</v>
      </c>
    </row>
    <row r="38" spans="1:9">
      <c r="A38" s="50">
        <v>46289</v>
      </c>
      <c r="B38" s="51">
        <v>0.06909722222222223</v>
      </c>
      <c r="C38" t="s">
        <v>151</v>
      </c>
      <c r="D38" t="s">
        <v>22</v>
      </c>
      <c r="E38" t="s">
        <v>189</v>
      </c>
      <c r="F38" t="s">
        <v>192</v>
      </c>
      <c r="G38">
        <v>16700</v>
      </c>
      <c r="H38" t="s">
        <v>154</v>
      </c>
      <c r="I38" t="s">
        <v>191</v>
      </c>
    </row>
    <row r="39" spans="1:9">
      <c r="A39" s="50">
        <v>46288</v>
      </c>
      <c r="B39" s="51">
        <v>0.8645833333333334</v>
      </c>
      <c r="C39" t="s">
        <v>151</v>
      </c>
      <c r="D39" t="s">
        <v>26</v>
      </c>
      <c r="E39" t="s">
        <v>177</v>
      </c>
      <c r="F39" t="s">
        <v>193</v>
      </c>
      <c r="G39">
        <v>-3000</v>
      </c>
      <c r="H39" t="s">
        <v>154</v>
      </c>
      <c r="I39" t="s">
        <v>162</v>
      </c>
    </row>
    <row r="40" spans="1:9">
      <c r="A40" s="50">
        <v>46288</v>
      </c>
      <c r="B40" s="51">
        <v>0.8639236111111112</v>
      </c>
      <c r="C40" t="s">
        <v>151</v>
      </c>
      <c r="D40" t="s">
        <v>26</v>
      </c>
      <c r="E40" t="s">
        <v>177</v>
      </c>
      <c r="F40" t="s">
        <v>193</v>
      </c>
      <c r="G40">
        <v>-3000</v>
      </c>
      <c r="H40" t="s">
        <v>154</v>
      </c>
      <c r="I40" t="s">
        <v>162</v>
      </c>
    </row>
    <row r="41" spans="1:9">
      <c r="A41" s="50">
        <v>46288</v>
      </c>
      <c r="B41" s="51">
        <v>0.8402199074074074</v>
      </c>
      <c r="C41" t="s">
        <v>151</v>
      </c>
      <c r="D41" t="s">
        <v>24</v>
      </c>
      <c r="E41" t="s">
        <v>194</v>
      </c>
      <c r="F41" t="s">
        <v>195</v>
      </c>
      <c r="G41">
        <v>-23500</v>
      </c>
      <c r="H41" t="s">
        <v>154</v>
      </c>
      <c r="I41" t="s">
        <v>165</v>
      </c>
    </row>
    <row r="42" spans="1:9">
      <c r="A42" s="50">
        <v>46288</v>
      </c>
      <c r="B42" s="51">
        <v>0.4239583333333333</v>
      </c>
      <c r="C42" t="s">
        <v>156</v>
      </c>
      <c r="D42" t="s">
        <v>184</v>
      </c>
      <c r="E42" t="s">
        <v>158</v>
      </c>
      <c r="F42" t="s">
        <v>196</v>
      </c>
      <c r="G42">
        <v>429000</v>
      </c>
      <c r="H42" t="s">
        <v>154</v>
      </c>
      <c r="I42" t="s">
        <v>43</v>
      </c>
    </row>
    <row r="43" spans="1:9">
      <c r="A43" s="50">
        <v>46288</v>
      </c>
      <c r="B43" s="51">
        <v>0.01872685185185185</v>
      </c>
      <c r="C43" t="s">
        <v>151</v>
      </c>
      <c r="D43" t="s">
        <v>28</v>
      </c>
      <c r="E43" t="s">
        <v>158</v>
      </c>
      <c r="F43" t="s">
        <v>197</v>
      </c>
      <c r="G43">
        <v>-5990</v>
      </c>
      <c r="H43" t="s">
        <v>154</v>
      </c>
      <c r="I43" t="s">
        <v>165</v>
      </c>
    </row>
    <row r="44" spans="1:9">
      <c r="A44" s="50">
        <v>46287</v>
      </c>
      <c r="B44" s="51">
        <v>0.9957523148148149</v>
      </c>
      <c r="C44" t="s">
        <v>151</v>
      </c>
      <c r="D44" t="s">
        <v>27</v>
      </c>
      <c r="E44" t="s">
        <v>198</v>
      </c>
      <c r="F44" t="s">
        <v>199</v>
      </c>
      <c r="G44">
        <v>-154800</v>
      </c>
      <c r="H44" t="s">
        <v>154</v>
      </c>
      <c r="I44" t="s">
        <v>155</v>
      </c>
    </row>
    <row r="45" spans="1:9">
      <c r="A45" s="50">
        <v>46287</v>
      </c>
      <c r="B45" s="51">
        <v>0.726550925925926</v>
      </c>
      <c r="C45" t="s">
        <v>151</v>
      </c>
      <c r="D45" t="s">
        <v>27</v>
      </c>
      <c r="E45" t="s">
        <v>200</v>
      </c>
      <c r="F45" t="s">
        <v>201</v>
      </c>
      <c r="G45">
        <v>-17000</v>
      </c>
      <c r="H45" t="s">
        <v>154</v>
      </c>
      <c r="I45" t="s">
        <v>202</v>
      </c>
    </row>
    <row r="46" spans="1:9">
      <c r="A46" s="50">
        <v>46287</v>
      </c>
      <c r="B46" s="51">
        <v>0.7203356481481481</v>
      </c>
      <c r="C46" t="s">
        <v>151</v>
      </c>
      <c r="D46" t="s">
        <v>27</v>
      </c>
      <c r="E46" t="s">
        <v>200</v>
      </c>
      <c r="F46" t="s">
        <v>203</v>
      </c>
      <c r="G46">
        <v>-105000</v>
      </c>
      <c r="H46" t="s">
        <v>154</v>
      </c>
      <c r="I46" t="s">
        <v>202</v>
      </c>
    </row>
    <row r="47" spans="1:9">
      <c r="A47" s="50">
        <v>46287</v>
      </c>
      <c r="B47" s="51">
        <v>0.6239467592592592</v>
      </c>
      <c r="C47" t="s">
        <v>151</v>
      </c>
      <c r="D47" t="s">
        <v>23</v>
      </c>
      <c r="E47" t="s">
        <v>204</v>
      </c>
      <c r="F47" t="s">
        <v>205</v>
      </c>
      <c r="G47">
        <v>-200000</v>
      </c>
      <c r="H47" t="s">
        <v>154</v>
      </c>
      <c r="I47" t="s">
        <v>57</v>
      </c>
    </row>
    <row r="48" spans="1:9">
      <c r="A48" s="50">
        <v>46287</v>
      </c>
      <c r="B48" s="51">
        <v>0.4858680555555556</v>
      </c>
      <c r="C48" t="s">
        <v>151</v>
      </c>
      <c r="D48" t="s">
        <v>27</v>
      </c>
      <c r="E48" t="s">
        <v>174</v>
      </c>
      <c r="F48" t="s">
        <v>206</v>
      </c>
      <c r="G48">
        <v>-5500</v>
      </c>
      <c r="H48" t="s">
        <v>154</v>
      </c>
      <c r="I48" t="s">
        <v>165</v>
      </c>
    </row>
    <row r="49" spans="1:9">
      <c r="A49" s="50">
        <v>46287</v>
      </c>
      <c r="B49" s="51">
        <v>0.4488888888888889</v>
      </c>
      <c r="C49" t="s">
        <v>151</v>
      </c>
      <c r="D49" t="s">
        <v>31</v>
      </c>
      <c r="E49" t="s">
        <v>207</v>
      </c>
      <c r="F49" t="s">
        <v>208</v>
      </c>
      <c r="G49">
        <v>-1000000</v>
      </c>
      <c r="H49" t="s">
        <v>154</v>
      </c>
      <c r="I49" t="s">
        <v>209</v>
      </c>
    </row>
    <row r="50" spans="1:9">
      <c r="A50" s="50">
        <v>46287</v>
      </c>
      <c r="B50" s="51">
        <v>0.3635069444444444</v>
      </c>
      <c r="C50" t="s">
        <v>156</v>
      </c>
      <c r="D50" t="s">
        <v>63</v>
      </c>
      <c r="E50" t="s">
        <v>158</v>
      </c>
      <c r="F50" t="s">
        <v>210</v>
      </c>
      <c r="G50">
        <v>-100000</v>
      </c>
      <c r="H50" t="s">
        <v>154</v>
      </c>
      <c r="I50" t="s">
        <v>57</v>
      </c>
    </row>
    <row r="51" spans="1:9">
      <c r="A51" s="50">
        <v>46287</v>
      </c>
      <c r="B51" s="51">
        <v>0.3634722222222222</v>
      </c>
      <c r="C51" t="s">
        <v>156</v>
      </c>
      <c r="D51" t="s">
        <v>63</v>
      </c>
      <c r="E51" t="s">
        <v>158</v>
      </c>
      <c r="F51" t="s">
        <v>211</v>
      </c>
      <c r="G51">
        <v>-150000</v>
      </c>
      <c r="H51" t="s">
        <v>154</v>
      </c>
      <c r="I51" t="s">
        <v>57</v>
      </c>
    </row>
    <row r="52" spans="1:9">
      <c r="A52" s="50">
        <v>46287</v>
      </c>
      <c r="B52" s="51">
        <v>0.3633101851851852</v>
      </c>
      <c r="C52" t="s">
        <v>156</v>
      </c>
      <c r="D52" t="s">
        <v>160</v>
      </c>
      <c r="E52" t="s">
        <v>158</v>
      </c>
      <c r="F52" t="s">
        <v>212</v>
      </c>
      <c r="G52">
        <v>-1875232</v>
      </c>
      <c r="H52" t="s">
        <v>154</v>
      </c>
      <c r="I52" t="s">
        <v>57</v>
      </c>
    </row>
    <row r="53" spans="1:9">
      <c r="A53" s="50">
        <v>46287</v>
      </c>
      <c r="B53" s="51">
        <v>0.3633101851851852</v>
      </c>
      <c r="C53" t="s">
        <v>156</v>
      </c>
      <c r="D53" t="s">
        <v>160</v>
      </c>
      <c r="E53" t="s">
        <v>158</v>
      </c>
      <c r="F53" t="s">
        <v>213</v>
      </c>
      <c r="G53">
        <v>1875232</v>
      </c>
      <c r="H53" t="s">
        <v>154</v>
      </c>
      <c r="I53" t="s">
        <v>48</v>
      </c>
    </row>
    <row r="54" spans="1:9">
      <c r="A54" s="50">
        <v>46287</v>
      </c>
      <c r="B54" s="51">
        <v>0.3626388888888889</v>
      </c>
      <c r="C54" t="s">
        <v>156</v>
      </c>
      <c r="D54" t="s">
        <v>160</v>
      </c>
      <c r="E54" t="s">
        <v>158</v>
      </c>
      <c r="F54" t="s">
        <v>214</v>
      </c>
      <c r="G54">
        <v>1024768</v>
      </c>
      <c r="H54" t="s">
        <v>154</v>
      </c>
      <c r="I54" t="s">
        <v>54</v>
      </c>
    </row>
    <row r="55" spans="1:9">
      <c r="A55" s="50">
        <v>46287</v>
      </c>
      <c r="B55" s="51">
        <v>0.3626273148148148</v>
      </c>
      <c r="C55" t="s">
        <v>156</v>
      </c>
      <c r="D55" t="s">
        <v>160</v>
      </c>
      <c r="E55" t="s">
        <v>158</v>
      </c>
      <c r="F55" t="s">
        <v>215</v>
      </c>
      <c r="G55">
        <v>100000</v>
      </c>
      <c r="H55" t="s">
        <v>154</v>
      </c>
      <c r="I55" t="s">
        <v>65</v>
      </c>
    </row>
    <row r="56" spans="1:9">
      <c r="A56" s="50">
        <v>46287</v>
      </c>
      <c r="B56" s="51">
        <v>0.3626273148148148</v>
      </c>
      <c r="C56" t="s">
        <v>156</v>
      </c>
      <c r="D56" t="s">
        <v>160</v>
      </c>
      <c r="E56" t="s">
        <v>158</v>
      </c>
      <c r="F56" t="s">
        <v>216</v>
      </c>
      <c r="G56">
        <v>-1024768</v>
      </c>
      <c r="H56" t="s">
        <v>154</v>
      </c>
      <c r="I56" t="s">
        <v>57</v>
      </c>
    </row>
    <row r="57" spans="1:9">
      <c r="A57" s="50">
        <v>46287</v>
      </c>
      <c r="B57" s="51">
        <v>0.3626273148148148</v>
      </c>
      <c r="C57" t="s">
        <v>156</v>
      </c>
      <c r="D57" t="s">
        <v>160</v>
      </c>
      <c r="E57" t="s">
        <v>158</v>
      </c>
      <c r="F57" t="s">
        <v>217</v>
      </c>
      <c r="G57">
        <v>-100000</v>
      </c>
      <c r="H57" t="s">
        <v>154</v>
      </c>
      <c r="I57" t="s">
        <v>57</v>
      </c>
    </row>
    <row r="58" spans="1:9">
      <c r="A58" s="50">
        <v>46287</v>
      </c>
      <c r="B58" s="51">
        <v>0.3625</v>
      </c>
      <c r="C58" t="s">
        <v>156</v>
      </c>
      <c r="D58" t="s">
        <v>160</v>
      </c>
      <c r="E58" t="s">
        <v>158</v>
      </c>
      <c r="F58" t="s">
        <v>218</v>
      </c>
      <c r="G58">
        <v>-300000</v>
      </c>
      <c r="H58" t="s">
        <v>154</v>
      </c>
      <c r="I58" t="s">
        <v>57</v>
      </c>
    </row>
    <row r="59" spans="1:9">
      <c r="A59" s="50">
        <v>46287</v>
      </c>
      <c r="B59" s="51">
        <v>0.3141087962962963</v>
      </c>
      <c r="C59" t="s">
        <v>151</v>
      </c>
      <c r="D59" t="s">
        <v>23</v>
      </c>
      <c r="E59" t="s">
        <v>219</v>
      </c>
      <c r="F59" t="s">
        <v>220</v>
      </c>
      <c r="G59">
        <v>-200000</v>
      </c>
      <c r="H59" t="s">
        <v>154</v>
      </c>
      <c r="I59" t="s">
        <v>57</v>
      </c>
    </row>
    <row r="60" spans="1:9">
      <c r="A60" s="50">
        <v>46286</v>
      </c>
      <c r="B60" s="51">
        <v>0.7961458333333333</v>
      </c>
      <c r="C60" t="s">
        <v>151</v>
      </c>
      <c r="D60" t="s">
        <v>27</v>
      </c>
      <c r="E60" t="s">
        <v>221</v>
      </c>
      <c r="F60" t="s">
        <v>222</v>
      </c>
      <c r="G60">
        <v>-5600</v>
      </c>
      <c r="H60" t="s">
        <v>154</v>
      </c>
      <c r="I60" t="s">
        <v>165</v>
      </c>
    </row>
    <row r="61" spans="1:9">
      <c r="A61" s="50">
        <v>46286</v>
      </c>
      <c r="B61" s="51">
        <v>0.7959722222222222</v>
      </c>
      <c r="C61" t="s">
        <v>151</v>
      </c>
      <c r="D61" t="s">
        <v>27</v>
      </c>
      <c r="E61" t="s">
        <v>221</v>
      </c>
      <c r="F61" t="s">
        <v>223</v>
      </c>
      <c r="G61">
        <v>-11000</v>
      </c>
      <c r="H61" t="s">
        <v>154</v>
      </c>
      <c r="I61" t="s">
        <v>224</v>
      </c>
    </row>
    <row r="62" spans="1:9">
      <c r="A62" s="50">
        <v>46286</v>
      </c>
      <c r="B62" s="51">
        <v>0.7733680555555555</v>
      </c>
      <c r="C62" t="s">
        <v>151</v>
      </c>
      <c r="D62" t="s">
        <v>30</v>
      </c>
      <c r="E62" t="s">
        <v>163</v>
      </c>
      <c r="F62" t="s">
        <v>166</v>
      </c>
      <c r="G62">
        <v>-18600</v>
      </c>
      <c r="H62" t="s">
        <v>154</v>
      </c>
      <c r="I62" t="s">
        <v>165</v>
      </c>
    </row>
    <row r="63" spans="1:9">
      <c r="A63" s="50">
        <v>46286</v>
      </c>
      <c r="B63" s="51">
        <v>0.5605324074074074</v>
      </c>
      <c r="C63" t="s">
        <v>156</v>
      </c>
      <c r="D63" t="s">
        <v>160</v>
      </c>
      <c r="E63" t="s">
        <v>158</v>
      </c>
      <c r="F63" t="s">
        <v>225</v>
      </c>
      <c r="G63">
        <v>212000</v>
      </c>
      <c r="H63" t="s">
        <v>154</v>
      </c>
      <c r="I63" t="s">
        <v>19</v>
      </c>
    </row>
    <row r="64" spans="1:9">
      <c r="A64" s="50">
        <v>46286</v>
      </c>
      <c r="B64" s="51">
        <v>0.4373611111111111</v>
      </c>
      <c r="C64" t="s">
        <v>151</v>
      </c>
      <c r="D64" t="s">
        <v>28</v>
      </c>
      <c r="E64" t="s">
        <v>158</v>
      </c>
      <c r="F64" t="s">
        <v>226</v>
      </c>
      <c r="G64">
        <v>-17600</v>
      </c>
      <c r="H64" t="s">
        <v>154</v>
      </c>
      <c r="I64" t="s">
        <v>162</v>
      </c>
    </row>
    <row r="65" spans="1:9">
      <c r="A65" s="50">
        <v>46286</v>
      </c>
      <c r="B65" s="51">
        <v>0.394375</v>
      </c>
      <c r="C65" t="s">
        <v>151</v>
      </c>
      <c r="D65" t="s">
        <v>28</v>
      </c>
      <c r="E65" t="s">
        <v>158</v>
      </c>
      <c r="F65" t="s">
        <v>226</v>
      </c>
      <c r="G65">
        <v>-40510</v>
      </c>
      <c r="H65" t="s">
        <v>154</v>
      </c>
      <c r="I65" t="s">
        <v>162</v>
      </c>
    </row>
    <row r="66" spans="1:9">
      <c r="A66" s="50">
        <v>46286</v>
      </c>
      <c r="B66" s="51">
        <v>0.3911342592592593</v>
      </c>
      <c r="C66" t="s">
        <v>151</v>
      </c>
      <c r="D66" t="s">
        <v>28</v>
      </c>
      <c r="E66" t="s">
        <v>158</v>
      </c>
      <c r="F66" t="s">
        <v>197</v>
      </c>
      <c r="G66">
        <v>-5990</v>
      </c>
      <c r="H66" t="s">
        <v>154</v>
      </c>
      <c r="I66" t="s">
        <v>165</v>
      </c>
    </row>
    <row r="67" spans="1:9">
      <c r="A67" s="50">
        <v>46286</v>
      </c>
      <c r="B67" s="51">
        <v>0.1063657407407407</v>
      </c>
      <c r="C67" t="s">
        <v>182</v>
      </c>
      <c r="D67" t="s">
        <v>17</v>
      </c>
      <c r="E67" t="s">
        <v>158</v>
      </c>
      <c r="F67" t="s">
        <v>17</v>
      </c>
      <c r="G67">
        <v>4824960</v>
      </c>
      <c r="H67" t="s">
        <v>154</v>
      </c>
      <c r="I67" t="s">
        <v>57</v>
      </c>
    </row>
    <row r="68" spans="1:9">
      <c r="A68" s="50">
        <v>46285</v>
      </c>
      <c r="B68" s="51">
        <v>0.6875810185185185</v>
      </c>
      <c r="C68" t="s">
        <v>151</v>
      </c>
      <c r="D68" t="s">
        <v>27</v>
      </c>
      <c r="E68" t="s">
        <v>200</v>
      </c>
      <c r="F68" t="s">
        <v>227</v>
      </c>
      <c r="G68">
        <v>-4000</v>
      </c>
      <c r="H68" t="s">
        <v>154</v>
      </c>
      <c r="I68" t="s">
        <v>162</v>
      </c>
    </row>
    <row r="69" spans="1:9">
      <c r="A69" s="50">
        <v>46285</v>
      </c>
      <c r="B69" s="51">
        <v>0.3464699074074074</v>
      </c>
      <c r="C69" t="s">
        <v>182</v>
      </c>
      <c r="D69" t="s">
        <v>16</v>
      </c>
      <c r="E69" t="s">
        <v>158</v>
      </c>
      <c r="F69" t="s">
        <v>228</v>
      </c>
      <c r="G69">
        <v>43</v>
      </c>
      <c r="H69" t="s">
        <v>154</v>
      </c>
      <c r="I69" t="s">
        <v>48</v>
      </c>
    </row>
    <row r="70" spans="1:9">
      <c r="A70" s="50">
        <v>46285</v>
      </c>
      <c r="B70" s="51">
        <v>0.3150115740740741</v>
      </c>
      <c r="C70" t="s">
        <v>182</v>
      </c>
      <c r="D70" t="s">
        <v>16</v>
      </c>
      <c r="E70" t="s">
        <v>158</v>
      </c>
      <c r="F70" t="s">
        <v>229</v>
      </c>
      <c r="G70">
        <v>1271</v>
      </c>
      <c r="H70" t="s">
        <v>154</v>
      </c>
      <c r="I70" t="s">
        <v>46</v>
      </c>
    </row>
    <row r="71" spans="1:9">
      <c r="A71" s="50">
        <v>46285</v>
      </c>
      <c r="B71" s="51">
        <v>0.3149537037037037</v>
      </c>
      <c r="C71" t="s">
        <v>182</v>
      </c>
      <c r="D71" t="s">
        <v>16</v>
      </c>
      <c r="E71" t="s">
        <v>158</v>
      </c>
      <c r="F71" t="s">
        <v>229</v>
      </c>
      <c r="G71">
        <v>867</v>
      </c>
      <c r="H71" t="s">
        <v>154</v>
      </c>
      <c r="I71" t="s">
        <v>47</v>
      </c>
    </row>
    <row r="72" spans="1:9">
      <c r="A72" s="50">
        <v>46284</v>
      </c>
      <c r="B72" s="51">
        <v>0.9440740740740741</v>
      </c>
      <c r="C72" t="s">
        <v>151</v>
      </c>
      <c r="D72" t="s">
        <v>27</v>
      </c>
      <c r="E72" t="s">
        <v>200</v>
      </c>
      <c r="F72" t="s">
        <v>230</v>
      </c>
      <c r="G72">
        <v>-98200</v>
      </c>
      <c r="H72" t="s">
        <v>154</v>
      </c>
      <c r="I72" t="s">
        <v>191</v>
      </c>
    </row>
    <row r="73" spans="1:9">
      <c r="A73" s="50">
        <v>46284</v>
      </c>
      <c r="B73" s="51">
        <v>0.8522106481481482</v>
      </c>
      <c r="C73" t="s">
        <v>151</v>
      </c>
      <c r="D73" t="s">
        <v>32</v>
      </c>
      <c r="E73" t="s">
        <v>158</v>
      </c>
      <c r="F73" t="s">
        <v>231</v>
      </c>
      <c r="G73">
        <v>-13300</v>
      </c>
      <c r="H73" t="s">
        <v>154</v>
      </c>
      <c r="I73" t="s">
        <v>165</v>
      </c>
    </row>
    <row r="74" spans="1:9">
      <c r="A74" s="50">
        <v>46284</v>
      </c>
      <c r="B74" s="51">
        <v>0.8351504629629629</v>
      </c>
      <c r="C74" t="s">
        <v>151</v>
      </c>
      <c r="D74" t="s">
        <v>22</v>
      </c>
      <c r="E74" t="s">
        <v>232</v>
      </c>
      <c r="F74" t="s">
        <v>233</v>
      </c>
      <c r="G74">
        <v>-1000</v>
      </c>
      <c r="H74" t="s">
        <v>154</v>
      </c>
      <c r="I74" t="s">
        <v>155</v>
      </c>
    </row>
    <row r="75" spans="1:9">
      <c r="A75" s="50">
        <v>46284</v>
      </c>
      <c r="B75" s="51">
        <v>0.8121643518518519</v>
      </c>
      <c r="C75" t="s">
        <v>151</v>
      </c>
      <c r="D75" t="s">
        <v>27</v>
      </c>
      <c r="E75" t="s">
        <v>221</v>
      </c>
      <c r="F75" t="s">
        <v>234</v>
      </c>
      <c r="G75">
        <v>-4400</v>
      </c>
      <c r="H75" t="s">
        <v>154</v>
      </c>
      <c r="I75" t="s">
        <v>162</v>
      </c>
    </row>
    <row r="76" spans="1:9">
      <c r="A76" s="50">
        <v>46284</v>
      </c>
      <c r="B76" s="51">
        <v>0.7996643518518518</v>
      </c>
      <c r="C76" t="s">
        <v>151</v>
      </c>
      <c r="D76" t="s">
        <v>27</v>
      </c>
      <c r="E76" t="s">
        <v>221</v>
      </c>
      <c r="F76" t="s">
        <v>234</v>
      </c>
      <c r="G76">
        <v>-10400</v>
      </c>
      <c r="H76" t="s">
        <v>154</v>
      </c>
      <c r="I76" t="s">
        <v>165</v>
      </c>
    </row>
    <row r="77" spans="1:9">
      <c r="A77" s="50">
        <v>46284</v>
      </c>
      <c r="B77" s="51">
        <v>0.7434375</v>
      </c>
      <c r="C77" t="s">
        <v>151</v>
      </c>
      <c r="D77" t="s">
        <v>26</v>
      </c>
      <c r="E77" t="s">
        <v>177</v>
      </c>
      <c r="F77" t="s">
        <v>235</v>
      </c>
      <c r="G77">
        <v>-2300</v>
      </c>
      <c r="H77" t="s">
        <v>154</v>
      </c>
      <c r="I77" t="s">
        <v>191</v>
      </c>
    </row>
    <row r="78" spans="1:9">
      <c r="A78" s="50">
        <v>46284</v>
      </c>
      <c r="B78" s="51">
        <v>0.7380439814814815</v>
      </c>
      <c r="C78" t="s">
        <v>151</v>
      </c>
      <c r="D78" t="s">
        <v>24</v>
      </c>
      <c r="E78" t="s">
        <v>236</v>
      </c>
      <c r="F78" t="s">
        <v>237</v>
      </c>
      <c r="G78">
        <v>-20000</v>
      </c>
      <c r="H78" t="s">
        <v>154</v>
      </c>
      <c r="I78" t="s">
        <v>162</v>
      </c>
    </row>
    <row r="79" spans="1:9">
      <c r="A79" s="50">
        <v>46284</v>
      </c>
      <c r="B79" s="51">
        <v>0.5971296296296297</v>
      </c>
      <c r="C79" t="s">
        <v>151</v>
      </c>
      <c r="D79" t="s">
        <v>27</v>
      </c>
      <c r="E79" t="s">
        <v>174</v>
      </c>
      <c r="F79" t="s">
        <v>238</v>
      </c>
      <c r="G79">
        <v>-30000</v>
      </c>
      <c r="H79" t="s">
        <v>154</v>
      </c>
      <c r="I79" t="s">
        <v>162</v>
      </c>
    </row>
    <row r="80" spans="1:9">
      <c r="A80" s="50">
        <v>46284</v>
      </c>
      <c r="B80" s="51">
        <v>0.4343402777777778</v>
      </c>
      <c r="C80" t="s">
        <v>156</v>
      </c>
      <c r="D80" t="s">
        <v>184</v>
      </c>
      <c r="E80" t="s">
        <v>158</v>
      </c>
      <c r="F80" t="s">
        <v>239</v>
      </c>
      <c r="G80">
        <v>32</v>
      </c>
      <c r="H80" t="s">
        <v>154</v>
      </c>
      <c r="I80" t="s">
        <v>49</v>
      </c>
    </row>
    <row r="81" spans="1:9">
      <c r="A81" s="50">
        <v>46284</v>
      </c>
      <c r="B81" s="51">
        <v>0.1629166666666667</v>
      </c>
      <c r="C81" t="s">
        <v>182</v>
      </c>
      <c r="D81" t="s">
        <v>16</v>
      </c>
      <c r="E81" t="s">
        <v>158</v>
      </c>
      <c r="F81" t="s">
        <v>229</v>
      </c>
      <c r="G81">
        <v>72</v>
      </c>
      <c r="H81" t="s">
        <v>154</v>
      </c>
      <c r="I81" t="s">
        <v>53</v>
      </c>
    </row>
    <row r="82" spans="1:9">
      <c r="A82" s="50">
        <v>46284</v>
      </c>
      <c r="B82" s="51">
        <v>0.09445601851851852</v>
      </c>
      <c r="C82" t="s">
        <v>182</v>
      </c>
      <c r="D82" t="s">
        <v>16</v>
      </c>
      <c r="E82" t="s">
        <v>158</v>
      </c>
      <c r="F82" t="s">
        <v>240</v>
      </c>
      <c r="G82">
        <v>334</v>
      </c>
      <c r="H82" t="s">
        <v>154</v>
      </c>
      <c r="I82" t="s">
        <v>57</v>
      </c>
    </row>
    <row r="83" spans="1:9">
      <c r="A83" s="50">
        <v>46283</v>
      </c>
      <c r="B83" s="51">
        <v>0.8610763888888889</v>
      </c>
      <c r="C83" t="s">
        <v>151</v>
      </c>
      <c r="D83" t="s">
        <v>27</v>
      </c>
      <c r="E83" t="s">
        <v>241</v>
      </c>
      <c r="F83" t="s">
        <v>242</v>
      </c>
      <c r="G83">
        <v>-1000</v>
      </c>
      <c r="H83" t="s">
        <v>154</v>
      </c>
      <c r="I83" t="s">
        <v>202</v>
      </c>
    </row>
    <row r="84" spans="1:9">
      <c r="A84" s="50">
        <v>46283</v>
      </c>
      <c r="B84" s="51">
        <v>0.8602199074074074</v>
      </c>
      <c r="C84" t="s">
        <v>151</v>
      </c>
      <c r="D84" t="s">
        <v>27</v>
      </c>
      <c r="E84" t="s">
        <v>241</v>
      </c>
      <c r="F84" t="s">
        <v>242</v>
      </c>
      <c r="G84">
        <v>-13920</v>
      </c>
      <c r="H84" t="s">
        <v>154</v>
      </c>
      <c r="I84" t="s">
        <v>202</v>
      </c>
    </row>
    <row r="85" spans="1:9">
      <c r="A85" s="50">
        <v>46283</v>
      </c>
      <c r="B85" s="51">
        <v>0.7545949074074074</v>
      </c>
      <c r="C85" t="s">
        <v>151</v>
      </c>
      <c r="D85" t="s">
        <v>30</v>
      </c>
      <c r="E85" t="s">
        <v>163</v>
      </c>
      <c r="F85" t="s">
        <v>166</v>
      </c>
      <c r="G85">
        <v>-6999</v>
      </c>
      <c r="H85" t="s">
        <v>154</v>
      </c>
      <c r="I85" t="s">
        <v>165</v>
      </c>
    </row>
    <row r="86" spans="1:9">
      <c r="A86" s="50">
        <v>46283</v>
      </c>
      <c r="B86" s="51">
        <v>0.4898148148148148</v>
      </c>
      <c r="C86" t="s">
        <v>151</v>
      </c>
      <c r="D86" t="s">
        <v>32</v>
      </c>
      <c r="E86" t="s">
        <v>158</v>
      </c>
      <c r="F86" t="s">
        <v>243</v>
      </c>
      <c r="G86">
        <v>-9400</v>
      </c>
      <c r="H86" t="s">
        <v>154</v>
      </c>
      <c r="I86" t="s">
        <v>165</v>
      </c>
    </row>
    <row r="87" spans="1:9">
      <c r="A87" s="50">
        <v>46283</v>
      </c>
      <c r="B87" s="51">
        <v>0.4453356481481481</v>
      </c>
      <c r="C87" t="s">
        <v>151</v>
      </c>
      <c r="D87" t="s">
        <v>28</v>
      </c>
      <c r="E87" t="s">
        <v>158</v>
      </c>
      <c r="F87" t="s">
        <v>197</v>
      </c>
      <c r="G87">
        <v>-5990</v>
      </c>
      <c r="H87" t="s">
        <v>154</v>
      </c>
      <c r="I87" t="s">
        <v>165</v>
      </c>
    </row>
    <row r="88" spans="1:9">
      <c r="A88" s="50">
        <v>46283</v>
      </c>
      <c r="B88" s="51">
        <v>0.4184375</v>
      </c>
      <c r="C88" t="s">
        <v>151</v>
      </c>
      <c r="D88" t="s">
        <v>27</v>
      </c>
      <c r="E88" t="s">
        <v>168</v>
      </c>
      <c r="F88" t="s">
        <v>244</v>
      </c>
      <c r="G88">
        <v>-1990</v>
      </c>
      <c r="H88" t="s">
        <v>154</v>
      </c>
      <c r="I88" t="s">
        <v>155</v>
      </c>
    </row>
    <row r="89" spans="1:9">
      <c r="A89" s="50">
        <v>46283</v>
      </c>
      <c r="B89" s="51">
        <v>0.4109375</v>
      </c>
      <c r="C89" t="s">
        <v>151</v>
      </c>
      <c r="D89" t="s">
        <v>30</v>
      </c>
      <c r="E89" t="s">
        <v>163</v>
      </c>
      <c r="F89" t="s">
        <v>166</v>
      </c>
      <c r="G89">
        <v>-6900</v>
      </c>
      <c r="H89" t="s">
        <v>154</v>
      </c>
      <c r="I89" t="s">
        <v>165</v>
      </c>
    </row>
    <row r="90" spans="1:9">
      <c r="A90" s="50">
        <v>46283</v>
      </c>
      <c r="B90" s="51">
        <v>0.3789467592592592</v>
      </c>
      <c r="C90" t="s">
        <v>156</v>
      </c>
      <c r="D90" t="s">
        <v>160</v>
      </c>
      <c r="E90" t="s">
        <v>158</v>
      </c>
      <c r="F90" t="s">
        <v>225</v>
      </c>
      <c r="G90">
        <v>2850</v>
      </c>
      <c r="H90" t="s">
        <v>154</v>
      </c>
      <c r="I90" t="s">
        <v>19</v>
      </c>
    </row>
    <row r="91" spans="1:9">
      <c r="A91" s="50">
        <v>46282</v>
      </c>
      <c r="B91" s="51">
        <v>0.7248611111111111</v>
      </c>
      <c r="C91" t="s">
        <v>151</v>
      </c>
      <c r="D91" t="s">
        <v>27</v>
      </c>
      <c r="E91" t="s">
        <v>168</v>
      </c>
      <c r="F91" t="s">
        <v>169</v>
      </c>
      <c r="G91">
        <v>-32800</v>
      </c>
      <c r="H91" t="s">
        <v>154</v>
      </c>
      <c r="I91" t="s">
        <v>224</v>
      </c>
    </row>
    <row r="92" spans="1:9">
      <c r="A92" s="50">
        <v>46282</v>
      </c>
      <c r="B92" s="51">
        <v>0.4851041666666667</v>
      </c>
      <c r="C92" t="s">
        <v>151</v>
      </c>
      <c r="D92" t="s">
        <v>27</v>
      </c>
      <c r="E92" t="s">
        <v>200</v>
      </c>
      <c r="F92" t="s">
        <v>245</v>
      </c>
      <c r="G92">
        <v>-6000</v>
      </c>
      <c r="H92" t="s">
        <v>154</v>
      </c>
      <c r="I92" t="s">
        <v>162</v>
      </c>
    </row>
    <row r="93" spans="1:9">
      <c r="A93" s="50">
        <v>46282</v>
      </c>
      <c r="B93" s="51">
        <v>0.3860069444444444</v>
      </c>
      <c r="C93" t="s">
        <v>151</v>
      </c>
      <c r="D93" t="s">
        <v>23</v>
      </c>
      <c r="E93" t="s">
        <v>186</v>
      </c>
      <c r="F93" t="s">
        <v>246</v>
      </c>
      <c r="G93">
        <v>-66440</v>
      </c>
      <c r="H93" t="s">
        <v>154</v>
      </c>
      <c r="I93" t="s">
        <v>155</v>
      </c>
    </row>
    <row r="94" spans="1:9">
      <c r="A94" s="50">
        <v>46282</v>
      </c>
      <c r="B94" s="51">
        <v>0.3831712962962963</v>
      </c>
      <c r="C94" t="s">
        <v>151</v>
      </c>
      <c r="D94" t="s">
        <v>28</v>
      </c>
      <c r="E94" t="s">
        <v>158</v>
      </c>
      <c r="F94" t="s">
        <v>247</v>
      </c>
      <c r="G94">
        <v>-163160</v>
      </c>
      <c r="H94" t="s">
        <v>154</v>
      </c>
      <c r="I94" t="s">
        <v>191</v>
      </c>
    </row>
    <row r="95" spans="1:9">
      <c r="A95" s="50">
        <v>46282</v>
      </c>
      <c r="B95" s="51">
        <v>0.039375</v>
      </c>
      <c r="C95" t="s">
        <v>151</v>
      </c>
      <c r="D95" t="s">
        <v>28</v>
      </c>
      <c r="E95" t="s">
        <v>158</v>
      </c>
      <c r="F95" t="s">
        <v>197</v>
      </c>
      <c r="G95">
        <v>-5990</v>
      </c>
      <c r="H95" t="s">
        <v>154</v>
      </c>
      <c r="I95" t="s">
        <v>165</v>
      </c>
    </row>
    <row r="96" spans="1:9">
      <c r="A96" s="50">
        <v>46281</v>
      </c>
      <c r="B96" s="51">
        <v>0.7842824074074074</v>
      </c>
      <c r="C96" t="s">
        <v>151</v>
      </c>
      <c r="D96" t="s">
        <v>32</v>
      </c>
      <c r="E96" t="s">
        <v>158</v>
      </c>
      <c r="F96" t="s">
        <v>248</v>
      </c>
      <c r="G96">
        <v>-3000</v>
      </c>
      <c r="H96" t="s">
        <v>154</v>
      </c>
      <c r="I96" t="s">
        <v>162</v>
      </c>
    </row>
    <row r="97" spans="1:9">
      <c r="A97" s="50">
        <v>46281</v>
      </c>
      <c r="B97" s="51">
        <v>0.7810069444444444</v>
      </c>
      <c r="C97" t="s">
        <v>151</v>
      </c>
      <c r="D97" t="s">
        <v>27</v>
      </c>
      <c r="E97" t="s">
        <v>221</v>
      </c>
      <c r="F97" t="s">
        <v>222</v>
      </c>
      <c r="G97">
        <v>-5600</v>
      </c>
      <c r="H97" t="s">
        <v>154</v>
      </c>
      <c r="I97" t="s">
        <v>165</v>
      </c>
    </row>
    <row r="98" spans="1:9">
      <c r="A98" s="50">
        <v>46281</v>
      </c>
      <c r="B98" s="51">
        <v>0.7808680555555556</v>
      </c>
      <c r="C98" t="s">
        <v>151</v>
      </c>
      <c r="D98" t="s">
        <v>27</v>
      </c>
      <c r="E98" t="s">
        <v>221</v>
      </c>
      <c r="F98" t="s">
        <v>223</v>
      </c>
      <c r="G98">
        <v>-11000</v>
      </c>
      <c r="H98" t="s">
        <v>154</v>
      </c>
      <c r="I98" t="s">
        <v>224</v>
      </c>
    </row>
    <row r="99" spans="1:9">
      <c r="A99" s="50">
        <v>46281</v>
      </c>
      <c r="B99" s="51">
        <v>0.5933680555555556</v>
      </c>
      <c r="C99" t="s">
        <v>151</v>
      </c>
      <c r="D99" t="s">
        <v>24</v>
      </c>
      <c r="E99" t="s">
        <v>236</v>
      </c>
      <c r="F99" t="s">
        <v>249</v>
      </c>
      <c r="G99">
        <v>-32000</v>
      </c>
      <c r="H99" t="s">
        <v>154</v>
      </c>
      <c r="I99" t="s">
        <v>191</v>
      </c>
    </row>
    <row r="100" spans="1:9">
      <c r="A100" s="50">
        <v>46281</v>
      </c>
      <c r="B100" s="51">
        <v>0.4194328703703704</v>
      </c>
      <c r="C100" t="s">
        <v>182</v>
      </c>
      <c r="D100" t="s">
        <v>19</v>
      </c>
      <c r="E100" t="s">
        <v>158</v>
      </c>
      <c r="F100" t="s">
        <v>250</v>
      </c>
      <c r="G100">
        <v>406</v>
      </c>
      <c r="H100" t="s">
        <v>154</v>
      </c>
      <c r="I100" t="s">
        <v>43</v>
      </c>
    </row>
    <row r="101" spans="1:9">
      <c r="A101" s="50">
        <v>46281</v>
      </c>
      <c r="B101" s="51">
        <v>0.3712962962962963</v>
      </c>
      <c r="C101" t="s">
        <v>151</v>
      </c>
      <c r="D101" t="s">
        <v>30</v>
      </c>
      <c r="E101" t="s">
        <v>170</v>
      </c>
      <c r="F101" t="s">
        <v>251</v>
      </c>
      <c r="G101">
        <v>16800</v>
      </c>
      <c r="H101" t="s">
        <v>154</v>
      </c>
      <c r="I101" t="s">
        <v>155</v>
      </c>
    </row>
    <row r="102" spans="1:9">
      <c r="A102" s="50">
        <v>46281</v>
      </c>
      <c r="B102" s="51">
        <v>0.3705555555555556</v>
      </c>
      <c r="C102" t="s">
        <v>151</v>
      </c>
      <c r="D102" t="s">
        <v>30</v>
      </c>
      <c r="E102" t="s">
        <v>170</v>
      </c>
      <c r="F102" t="s">
        <v>251</v>
      </c>
      <c r="G102">
        <v>-20800</v>
      </c>
      <c r="H102" t="s">
        <v>154</v>
      </c>
      <c r="I102" t="s">
        <v>155</v>
      </c>
    </row>
    <row r="103" spans="1:9">
      <c r="A103" s="50">
        <v>46281</v>
      </c>
      <c r="B103" s="51">
        <v>0.3700810185185185</v>
      </c>
      <c r="C103" t="s">
        <v>151</v>
      </c>
      <c r="D103" t="s">
        <v>30</v>
      </c>
      <c r="E103" t="s">
        <v>163</v>
      </c>
      <c r="F103" t="s">
        <v>252</v>
      </c>
      <c r="G103">
        <v>-11900</v>
      </c>
      <c r="H103" t="s">
        <v>154</v>
      </c>
      <c r="I103" t="s">
        <v>155</v>
      </c>
    </row>
    <row r="104" spans="1:9">
      <c r="A104" s="50">
        <v>46281</v>
      </c>
      <c r="B104" s="51">
        <v>0.3696643518518519</v>
      </c>
      <c r="C104" t="s">
        <v>151</v>
      </c>
      <c r="D104" t="s">
        <v>30</v>
      </c>
      <c r="E104" t="s">
        <v>170</v>
      </c>
      <c r="F104" t="s">
        <v>251</v>
      </c>
      <c r="G104">
        <v>-16800</v>
      </c>
      <c r="H104" t="s">
        <v>154</v>
      </c>
      <c r="I104" t="s">
        <v>155</v>
      </c>
    </row>
    <row r="105" spans="1:9">
      <c r="A105" s="50">
        <v>46280</v>
      </c>
      <c r="B105" s="51">
        <v>0.9039814814814815</v>
      </c>
      <c r="C105" t="s">
        <v>156</v>
      </c>
      <c r="D105" t="s">
        <v>157</v>
      </c>
      <c r="E105" t="s">
        <v>158</v>
      </c>
      <c r="F105" t="s">
        <v>246</v>
      </c>
      <c r="G105">
        <v>-1125037</v>
      </c>
      <c r="H105" t="s">
        <v>154</v>
      </c>
      <c r="I105" t="s">
        <v>53</v>
      </c>
    </row>
    <row r="106" spans="1:9">
      <c r="A106" s="50">
        <v>46280</v>
      </c>
      <c r="B106" s="51">
        <v>0.8947337962962963</v>
      </c>
      <c r="C106" t="s">
        <v>151</v>
      </c>
      <c r="D106" t="s">
        <v>32</v>
      </c>
      <c r="E106" t="s">
        <v>158</v>
      </c>
      <c r="F106" t="s">
        <v>253</v>
      </c>
      <c r="G106">
        <v>-2000</v>
      </c>
      <c r="H106" t="s">
        <v>154</v>
      </c>
      <c r="I106" t="s">
        <v>162</v>
      </c>
    </row>
    <row r="107" spans="1:9">
      <c r="A107" s="50">
        <v>46280</v>
      </c>
      <c r="B107" s="51">
        <v>0.8685185185185185</v>
      </c>
      <c r="C107" t="s">
        <v>151</v>
      </c>
      <c r="D107" t="s">
        <v>27</v>
      </c>
      <c r="E107" t="s">
        <v>200</v>
      </c>
      <c r="F107" t="s">
        <v>254</v>
      </c>
      <c r="G107">
        <v>-8000</v>
      </c>
      <c r="H107" t="s">
        <v>154</v>
      </c>
      <c r="I107" t="s">
        <v>162</v>
      </c>
    </row>
    <row r="108" spans="1:9">
      <c r="A108" s="50">
        <v>46280</v>
      </c>
      <c r="B108" s="51">
        <v>0.6214351851851851</v>
      </c>
      <c r="C108" t="s">
        <v>151</v>
      </c>
      <c r="D108" t="s">
        <v>23</v>
      </c>
      <c r="E108" t="s">
        <v>255</v>
      </c>
      <c r="F108" t="s">
        <v>109</v>
      </c>
      <c r="G108">
        <v>-138340</v>
      </c>
      <c r="H108" t="s">
        <v>154</v>
      </c>
      <c r="I108" t="s">
        <v>179</v>
      </c>
    </row>
    <row r="109" spans="1:9">
      <c r="A109" s="50">
        <v>46280</v>
      </c>
      <c r="B109" s="51">
        <v>0.5010416666666667</v>
      </c>
      <c r="C109" t="s">
        <v>156</v>
      </c>
      <c r="D109" t="s">
        <v>156</v>
      </c>
      <c r="E109" t="s">
        <v>158</v>
      </c>
      <c r="F109" t="s">
        <v>256</v>
      </c>
      <c r="G109">
        <v>362577</v>
      </c>
      <c r="H109" t="s">
        <v>154</v>
      </c>
      <c r="I109" t="s">
        <v>43</v>
      </c>
    </row>
    <row r="110" spans="1:9">
      <c r="A110" s="50">
        <v>46280</v>
      </c>
      <c r="B110" s="51">
        <v>0.4831597222222222</v>
      </c>
      <c r="C110" t="s">
        <v>151</v>
      </c>
      <c r="D110" t="s">
        <v>30</v>
      </c>
      <c r="E110" t="s">
        <v>163</v>
      </c>
      <c r="F110" t="s">
        <v>257</v>
      </c>
      <c r="G110">
        <v>-11800</v>
      </c>
      <c r="H110" t="s">
        <v>154</v>
      </c>
      <c r="I110" t="s">
        <v>165</v>
      </c>
    </row>
    <row r="111" spans="1:9">
      <c r="A111" s="50">
        <v>46280</v>
      </c>
      <c r="B111" s="51">
        <v>0.3653587962962963</v>
      </c>
      <c r="C111" t="s">
        <v>156</v>
      </c>
      <c r="D111" t="s">
        <v>184</v>
      </c>
      <c r="E111" t="s">
        <v>158</v>
      </c>
      <c r="F111" t="s">
        <v>258</v>
      </c>
      <c r="G111">
        <v>1750000</v>
      </c>
      <c r="H111" t="s">
        <v>154</v>
      </c>
      <c r="I111" t="s">
        <v>54</v>
      </c>
    </row>
    <row r="112" spans="1:9">
      <c r="A112" s="50">
        <v>46279</v>
      </c>
      <c r="B112" s="51">
        <v>0.9642013888888888</v>
      </c>
      <c r="C112" t="s">
        <v>156</v>
      </c>
      <c r="D112" t="s">
        <v>157</v>
      </c>
      <c r="E112" t="s">
        <v>158</v>
      </c>
      <c r="F112" t="s">
        <v>259</v>
      </c>
      <c r="G112">
        <v>-1563341</v>
      </c>
      <c r="H112" t="s">
        <v>154</v>
      </c>
      <c r="I112" t="s">
        <v>43</v>
      </c>
    </row>
    <row r="113" spans="1:9">
      <c r="A113" s="50">
        <v>46279</v>
      </c>
      <c r="B113" s="51">
        <v>0.9635532407407408</v>
      </c>
      <c r="C113" t="s">
        <v>156</v>
      </c>
      <c r="D113" t="s">
        <v>184</v>
      </c>
      <c r="E113" t="s">
        <v>158</v>
      </c>
      <c r="F113" t="s">
        <v>260</v>
      </c>
      <c r="G113">
        <v>1000000</v>
      </c>
      <c r="H113" t="s">
        <v>154</v>
      </c>
      <c r="I113" t="s">
        <v>53</v>
      </c>
    </row>
    <row r="114" spans="1:9">
      <c r="A114" s="50">
        <v>46279</v>
      </c>
      <c r="B114" s="51">
        <v>0.9632407407407407</v>
      </c>
      <c r="C114" t="s">
        <v>156</v>
      </c>
      <c r="D114" t="s">
        <v>160</v>
      </c>
      <c r="E114" t="s">
        <v>158</v>
      </c>
      <c r="F114" t="s">
        <v>261</v>
      </c>
      <c r="G114">
        <v>-487274</v>
      </c>
      <c r="H114" t="s">
        <v>154</v>
      </c>
      <c r="I114" t="s">
        <v>19</v>
      </c>
    </row>
    <row r="115" spans="1:9">
      <c r="A115" s="50">
        <v>46279</v>
      </c>
      <c r="B115" s="51">
        <v>0.9632407407407407</v>
      </c>
      <c r="C115" t="s">
        <v>156</v>
      </c>
      <c r="D115" t="s">
        <v>160</v>
      </c>
      <c r="E115" t="s">
        <v>158</v>
      </c>
      <c r="F115" t="s">
        <v>261</v>
      </c>
      <c r="G115">
        <v>487274</v>
      </c>
      <c r="H115" t="s">
        <v>154</v>
      </c>
      <c r="I115" t="s">
        <v>53</v>
      </c>
    </row>
    <row r="116" spans="1:9">
      <c r="A116" s="50">
        <v>46279</v>
      </c>
      <c r="B116" s="51">
        <v>0.9629513888888889</v>
      </c>
      <c r="C116" t="s">
        <v>156</v>
      </c>
      <c r="D116" t="s">
        <v>184</v>
      </c>
      <c r="E116" t="s">
        <v>158</v>
      </c>
      <c r="F116" t="s">
        <v>260</v>
      </c>
      <c r="G116">
        <v>1000000</v>
      </c>
      <c r="H116" t="s">
        <v>154</v>
      </c>
      <c r="I116" t="s">
        <v>43</v>
      </c>
    </row>
    <row r="117" spans="1:9">
      <c r="A117" s="50">
        <v>46279</v>
      </c>
      <c r="B117" s="51">
        <v>0.9577546296296297</v>
      </c>
      <c r="C117" t="s">
        <v>156</v>
      </c>
      <c r="D117" t="s">
        <v>157</v>
      </c>
      <c r="E117" t="s">
        <v>158</v>
      </c>
      <c r="F117" t="s">
        <v>159</v>
      </c>
      <c r="G117">
        <v>-1079716</v>
      </c>
      <c r="H117" t="s">
        <v>154</v>
      </c>
      <c r="I117" t="s">
        <v>43</v>
      </c>
    </row>
    <row r="118" spans="1:9">
      <c r="A118" s="50">
        <v>46279</v>
      </c>
      <c r="B118" s="51">
        <v>0.9554861111111111</v>
      </c>
      <c r="C118" t="s">
        <v>156</v>
      </c>
      <c r="D118" t="s">
        <v>160</v>
      </c>
      <c r="E118" t="s">
        <v>158</v>
      </c>
      <c r="F118" t="s">
        <v>7</v>
      </c>
      <c r="G118">
        <v>-563341</v>
      </c>
      <c r="H118" t="s">
        <v>154</v>
      </c>
      <c r="I118" t="s">
        <v>57</v>
      </c>
    </row>
    <row r="119" spans="1:9">
      <c r="A119" s="50">
        <v>46279</v>
      </c>
      <c r="B119" s="51">
        <v>0.9554861111111111</v>
      </c>
      <c r="C119" t="s">
        <v>156</v>
      </c>
      <c r="D119" t="s">
        <v>160</v>
      </c>
      <c r="E119" t="s">
        <v>158</v>
      </c>
      <c r="F119" t="s">
        <v>262</v>
      </c>
      <c r="G119">
        <v>563341</v>
      </c>
      <c r="H119" t="s">
        <v>154</v>
      </c>
      <c r="I119" t="s">
        <v>43</v>
      </c>
    </row>
    <row r="120" spans="1:9">
      <c r="A120" s="50">
        <v>46279</v>
      </c>
      <c r="B120" s="51">
        <v>0.9534953703703704</v>
      </c>
      <c r="C120" t="s">
        <v>156</v>
      </c>
      <c r="D120" t="s">
        <v>156</v>
      </c>
      <c r="E120" t="s">
        <v>158</v>
      </c>
      <c r="F120" t="s">
        <v>263</v>
      </c>
      <c r="G120">
        <v>505716</v>
      </c>
      <c r="H120" t="s">
        <v>154</v>
      </c>
      <c r="I120" t="s">
        <v>43</v>
      </c>
    </row>
    <row r="121" spans="1:9">
      <c r="A121" s="50">
        <v>46279</v>
      </c>
      <c r="B121" s="51">
        <v>0.9516898148148148</v>
      </c>
      <c r="C121" t="s">
        <v>156</v>
      </c>
      <c r="D121" t="s">
        <v>160</v>
      </c>
      <c r="E121" t="s">
        <v>158</v>
      </c>
      <c r="F121" t="s">
        <v>264</v>
      </c>
      <c r="G121">
        <v>-574000</v>
      </c>
      <c r="H121" t="s">
        <v>154</v>
      </c>
      <c r="I121" t="s">
        <v>19</v>
      </c>
    </row>
    <row r="122" spans="1:9">
      <c r="A122" s="50">
        <v>46279</v>
      </c>
      <c r="B122" s="51">
        <v>0.9516898148148148</v>
      </c>
      <c r="C122" t="s">
        <v>156</v>
      </c>
      <c r="D122" t="s">
        <v>160</v>
      </c>
      <c r="E122" t="s">
        <v>158</v>
      </c>
      <c r="F122" t="s">
        <v>264</v>
      </c>
      <c r="G122">
        <v>574000</v>
      </c>
      <c r="H122" t="s">
        <v>154</v>
      </c>
      <c r="I122" t="s">
        <v>43</v>
      </c>
    </row>
    <row r="123" spans="1:9">
      <c r="A123" s="50">
        <v>46279</v>
      </c>
      <c r="B123" s="51">
        <v>0.9504050925925925</v>
      </c>
      <c r="C123" t="s">
        <v>156</v>
      </c>
      <c r="D123" t="s">
        <v>157</v>
      </c>
      <c r="E123" t="s">
        <v>158</v>
      </c>
      <c r="F123" t="s">
        <v>265</v>
      </c>
      <c r="G123">
        <v>-102956</v>
      </c>
      <c r="H123" t="s">
        <v>154</v>
      </c>
      <c r="I123" t="s">
        <v>49</v>
      </c>
    </row>
    <row r="124" spans="1:9">
      <c r="A124" s="50">
        <v>46279</v>
      </c>
      <c r="B124" s="51">
        <v>0.950324074074074</v>
      </c>
      <c r="C124" t="s">
        <v>156</v>
      </c>
      <c r="D124" t="s">
        <v>156</v>
      </c>
      <c r="E124" t="s">
        <v>158</v>
      </c>
      <c r="F124" t="s">
        <v>266</v>
      </c>
      <c r="G124">
        <v>102957</v>
      </c>
      <c r="H124" t="s">
        <v>154</v>
      </c>
      <c r="I124" t="s">
        <v>49</v>
      </c>
    </row>
    <row r="125" spans="1:9">
      <c r="A125" s="50">
        <v>46279</v>
      </c>
      <c r="B125" s="51">
        <v>0.9279166666666666</v>
      </c>
      <c r="C125" t="s">
        <v>156</v>
      </c>
      <c r="D125" t="s">
        <v>157</v>
      </c>
      <c r="E125" t="s">
        <v>158</v>
      </c>
      <c r="F125" t="s">
        <v>246</v>
      </c>
      <c r="G125">
        <v>-362612</v>
      </c>
      <c r="H125" t="s">
        <v>154</v>
      </c>
      <c r="I125" t="s">
        <v>53</v>
      </c>
    </row>
    <row r="126" spans="1:9">
      <c r="A126" s="50">
        <v>46279</v>
      </c>
      <c r="B126" s="51">
        <v>0.8894675925925926</v>
      </c>
      <c r="C126" t="s">
        <v>151</v>
      </c>
      <c r="D126" t="s">
        <v>26</v>
      </c>
      <c r="E126" t="s">
        <v>267</v>
      </c>
      <c r="F126" t="s">
        <v>268</v>
      </c>
      <c r="G126">
        <v>-9160</v>
      </c>
      <c r="H126" t="s">
        <v>154</v>
      </c>
      <c r="I126" t="s">
        <v>191</v>
      </c>
    </row>
    <row r="127" spans="1:9">
      <c r="A127" s="50">
        <v>46279</v>
      </c>
      <c r="B127" s="51">
        <v>0.8891550925925926</v>
      </c>
      <c r="C127" t="s">
        <v>151</v>
      </c>
      <c r="D127" t="s">
        <v>26</v>
      </c>
      <c r="E127" t="s">
        <v>267</v>
      </c>
      <c r="F127" t="s">
        <v>268</v>
      </c>
      <c r="G127">
        <v>20930</v>
      </c>
      <c r="H127" t="s">
        <v>154</v>
      </c>
      <c r="I127" t="s">
        <v>191</v>
      </c>
    </row>
    <row r="128" spans="1:9">
      <c r="A128" s="50">
        <v>46279</v>
      </c>
      <c r="B128" s="51">
        <v>0.8763194444444444</v>
      </c>
      <c r="C128" t="s">
        <v>151</v>
      </c>
      <c r="D128" t="s">
        <v>28</v>
      </c>
      <c r="E128" t="s">
        <v>158</v>
      </c>
      <c r="F128" t="s">
        <v>197</v>
      </c>
      <c r="G128">
        <v>-5990</v>
      </c>
      <c r="H128" t="s">
        <v>154</v>
      </c>
      <c r="I128" t="s">
        <v>165</v>
      </c>
    </row>
    <row r="129" spans="1:9">
      <c r="A129" s="50">
        <v>46279</v>
      </c>
      <c r="B129" s="51">
        <v>0.7623263888888889</v>
      </c>
      <c r="C129" t="s">
        <v>151</v>
      </c>
      <c r="D129" t="s">
        <v>23</v>
      </c>
      <c r="E129" t="s">
        <v>186</v>
      </c>
      <c r="F129" t="s">
        <v>259</v>
      </c>
      <c r="G129">
        <v>-362577</v>
      </c>
      <c r="H129" t="s">
        <v>154</v>
      </c>
      <c r="I129" t="s">
        <v>43</v>
      </c>
    </row>
    <row r="130" spans="1:9">
      <c r="A130" s="50">
        <v>46279</v>
      </c>
      <c r="B130" s="51">
        <v>0.7357870370370371</v>
      </c>
      <c r="C130" t="s">
        <v>151</v>
      </c>
      <c r="D130" t="s">
        <v>26</v>
      </c>
      <c r="E130" t="s">
        <v>267</v>
      </c>
      <c r="F130" t="s">
        <v>268</v>
      </c>
      <c r="G130">
        <v>-20930</v>
      </c>
      <c r="H130" t="s">
        <v>154</v>
      </c>
      <c r="I130" t="s">
        <v>191</v>
      </c>
    </row>
    <row r="131" spans="1:9">
      <c r="A131" s="50">
        <v>46279</v>
      </c>
      <c r="B131" s="51">
        <v>0.1329050925925926</v>
      </c>
      <c r="C131" t="s">
        <v>156</v>
      </c>
      <c r="D131" t="s">
        <v>157</v>
      </c>
      <c r="E131" t="s">
        <v>158</v>
      </c>
      <c r="F131" t="s">
        <v>269</v>
      </c>
      <c r="G131">
        <v>-388440</v>
      </c>
      <c r="H131" t="s">
        <v>154</v>
      </c>
      <c r="I131" t="s">
        <v>49</v>
      </c>
    </row>
    <row r="132" spans="1:9">
      <c r="A132" s="50">
        <v>46277</v>
      </c>
      <c r="B132" s="51">
        <v>0.4770717592592593</v>
      </c>
      <c r="C132" t="s">
        <v>151</v>
      </c>
      <c r="D132" t="s">
        <v>27</v>
      </c>
      <c r="E132" t="s">
        <v>168</v>
      </c>
      <c r="F132" t="s">
        <v>169</v>
      </c>
      <c r="G132">
        <v>-55000</v>
      </c>
      <c r="H132" t="s">
        <v>154</v>
      </c>
      <c r="I132" t="s">
        <v>224</v>
      </c>
    </row>
    <row r="133" spans="1:9">
      <c r="A133" s="50">
        <v>46277</v>
      </c>
      <c r="B133" s="51">
        <v>0.4770717592592593</v>
      </c>
      <c r="C133" t="s">
        <v>151</v>
      </c>
      <c r="D133" t="s">
        <v>27</v>
      </c>
      <c r="E133" t="s">
        <v>168</v>
      </c>
      <c r="F133" t="s">
        <v>169</v>
      </c>
      <c r="G133">
        <v>-10999</v>
      </c>
      <c r="H133" t="s">
        <v>154</v>
      </c>
      <c r="I133" t="s">
        <v>224</v>
      </c>
    </row>
    <row r="134" spans="1:9">
      <c r="A134" s="50">
        <v>46277</v>
      </c>
      <c r="B134" s="51">
        <v>0.4211111111111111</v>
      </c>
      <c r="C134" t="s">
        <v>156</v>
      </c>
      <c r="D134" t="s">
        <v>184</v>
      </c>
      <c r="E134" t="s">
        <v>158</v>
      </c>
      <c r="F134" t="s">
        <v>270</v>
      </c>
      <c r="G134">
        <v>17600</v>
      </c>
      <c r="H134" t="s">
        <v>154</v>
      </c>
      <c r="I134" t="s">
        <v>43</v>
      </c>
    </row>
    <row r="135" spans="1:9">
      <c r="A135" s="50">
        <v>46276</v>
      </c>
      <c r="B135" s="51">
        <v>0.8516435185185185</v>
      </c>
      <c r="C135" t="s">
        <v>151</v>
      </c>
      <c r="D135" t="s">
        <v>32</v>
      </c>
      <c r="E135" t="s">
        <v>158</v>
      </c>
      <c r="F135" t="s">
        <v>253</v>
      </c>
      <c r="G135">
        <v>-5900</v>
      </c>
      <c r="H135" t="s">
        <v>154</v>
      </c>
      <c r="I135" t="s">
        <v>165</v>
      </c>
    </row>
    <row r="136" spans="1:9">
      <c r="A136" s="50">
        <v>46276</v>
      </c>
      <c r="B136" s="51">
        <v>0.825787037037037</v>
      </c>
      <c r="C136" t="s">
        <v>151</v>
      </c>
      <c r="D136" t="s">
        <v>27</v>
      </c>
      <c r="E136" t="s">
        <v>174</v>
      </c>
      <c r="F136" t="s">
        <v>271</v>
      </c>
      <c r="G136">
        <v>-42400</v>
      </c>
      <c r="H136" t="s">
        <v>154</v>
      </c>
      <c r="I136" t="s">
        <v>162</v>
      </c>
    </row>
    <row r="137" spans="1:9">
      <c r="A137" s="50">
        <v>46276</v>
      </c>
      <c r="B137" s="51">
        <v>0.7524884259259259</v>
      </c>
      <c r="C137" t="s">
        <v>151</v>
      </c>
      <c r="D137" t="s">
        <v>22</v>
      </c>
      <c r="E137" t="s">
        <v>232</v>
      </c>
      <c r="F137" t="s">
        <v>272</v>
      </c>
      <c r="G137">
        <v>-56770</v>
      </c>
      <c r="H137" t="s">
        <v>154</v>
      </c>
      <c r="I137" t="s">
        <v>57</v>
      </c>
    </row>
    <row r="138" spans="1:9">
      <c r="A138" s="50">
        <v>46276</v>
      </c>
      <c r="B138" s="51">
        <v>0.5696875</v>
      </c>
      <c r="C138" t="s">
        <v>151</v>
      </c>
      <c r="D138" t="s">
        <v>28</v>
      </c>
      <c r="E138" t="s">
        <v>158</v>
      </c>
      <c r="F138" t="s">
        <v>197</v>
      </c>
      <c r="G138">
        <v>-5990</v>
      </c>
      <c r="H138" t="s">
        <v>154</v>
      </c>
      <c r="I138" t="s">
        <v>165</v>
      </c>
    </row>
    <row r="139" spans="1:9">
      <c r="A139" s="50">
        <v>46276</v>
      </c>
      <c r="B139" s="51">
        <v>0.4968287037037037</v>
      </c>
      <c r="C139" t="s">
        <v>151</v>
      </c>
      <c r="D139" t="s">
        <v>27</v>
      </c>
      <c r="E139" t="s">
        <v>241</v>
      </c>
      <c r="F139" t="s">
        <v>273</v>
      </c>
      <c r="G139">
        <v>-11000</v>
      </c>
      <c r="H139" t="s">
        <v>154</v>
      </c>
      <c r="I139" t="s">
        <v>162</v>
      </c>
    </row>
    <row r="140" spans="1:9">
      <c r="A140" s="50">
        <v>46275</v>
      </c>
      <c r="B140" s="51">
        <v>0.9861805555555555</v>
      </c>
      <c r="C140" t="s">
        <v>151</v>
      </c>
      <c r="D140" t="s">
        <v>30</v>
      </c>
      <c r="E140" t="s">
        <v>163</v>
      </c>
      <c r="F140" t="s">
        <v>274</v>
      </c>
      <c r="G140">
        <v>-8999</v>
      </c>
      <c r="H140" t="s">
        <v>154</v>
      </c>
      <c r="I140" t="s">
        <v>275</v>
      </c>
    </row>
    <row r="141" spans="1:9">
      <c r="A141" s="50">
        <v>46275</v>
      </c>
      <c r="B141" s="51">
        <v>0.737175925925926</v>
      </c>
      <c r="C141" t="s">
        <v>151</v>
      </c>
      <c r="D141" t="s">
        <v>22</v>
      </c>
      <c r="E141" t="s">
        <v>232</v>
      </c>
      <c r="F141" t="s">
        <v>276</v>
      </c>
      <c r="G141">
        <v>53400</v>
      </c>
      <c r="H141" t="s">
        <v>154</v>
      </c>
      <c r="I141" t="s">
        <v>155</v>
      </c>
    </row>
    <row r="142" spans="1:9">
      <c r="A142" s="50">
        <v>46275</v>
      </c>
      <c r="B142" s="51">
        <v>0.7363194444444444</v>
      </c>
      <c r="C142" t="s">
        <v>151</v>
      </c>
      <c r="D142" t="s">
        <v>22</v>
      </c>
      <c r="E142" t="s">
        <v>232</v>
      </c>
      <c r="F142" t="s">
        <v>276</v>
      </c>
      <c r="G142">
        <v>-53400</v>
      </c>
      <c r="H142" t="s">
        <v>154</v>
      </c>
      <c r="I142" t="s">
        <v>155</v>
      </c>
    </row>
    <row r="143" spans="1:9">
      <c r="A143" s="50">
        <v>46275</v>
      </c>
      <c r="B143" s="51">
        <v>0.7313541666666666</v>
      </c>
      <c r="C143" t="s">
        <v>151</v>
      </c>
      <c r="D143" t="s">
        <v>22</v>
      </c>
      <c r="E143" t="s">
        <v>232</v>
      </c>
      <c r="F143" t="s">
        <v>276</v>
      </c>
      <c r="G143">
        <v>-53400</v>
      </c>
      <c r="H143" t="s">
        <v>154</v>
      </c>
      <c r="I143" t="s">
        <v>155</v>
      </c>
    </row>
    <row r="144" spans="1:9">
      <c r="A144" s="50">
        <v>46275</v>
      </c>
      <c r="B144" s="51">
        <v>0.7082523148148148</v>
      </c>
      <c r="C144" t="s">
        <v>151</v>
      </c>
      <c r="D144" t="s">
        <v>22</v>
      </c>
      <c r="E144" t="s">
        <v>232</v>
      </c>
      <c r="F144" t="s">
        <v>276</v>
      </c>
      <c r="G144">
        <v>-51800</v>
      </c>
      <c r="H144" t="s">
        <v>154</v>
      </c>
      <c r="I144" t="s">
        <v>155</v>
      </c>
    </row>
    <row r="145" spans="1:9">
      <c r="A145" s="50">
        <v>46275</v>
      </c>
      <c r="B145" s="51">
        <v>0.5997222222222223</v>
      </c>
      <c r="C145" t="s">
        <v>156</v>
      </c>
      <c r="D145" t="s">
        <v>160</v>
      </c>
      <c r="E145" t="s">
        <v>158</v>
      </c>
      <c r="F145" t="s">
        <v>277</v>
      </c>
      <c r="G145">
        <v>58000</v>
      </c>
      <c r="H145" t="s">
        <v>154</v>
      </c>
      <c r="I145" t="s">
        <v>57</v>
      </c>
    </row>
    <row r="146" spans="1:9">
      <c r="A146" s="50">
        <v>46275</v>
      </c>
      <c r="B146" s="51">
        <v>0.5997222222222223</v>
      </c>
      <c r="C146" t="s">
        <v>156</v>
      </c>
      <c r="D146" t="s">
        <v>160</v>
      </c>
      <c r="E146" t="s">
        <v>158</v>
      </c>
      <c r="F146" t="s">
        <v>277</v>
      </c>
      <c r="G146">
        <v>-58000</v>
      </c>
      <c r="H146" t="s">
        <v>154</v>
      </c>
      <c r="I146" t="s">
        <v>19</v>
      </c>
    </row>
    <row r="147" spans="1:9">
      <c r="A147" s="50">
        <v>46275</v>
      </c>
      <c r="B147" s="51">
        <v>0.5209143518518519</v>
      </c>
      <c r="C147" t="s">
        <v>151</v>
      </c>
      <c r="D147" t="s">
        <v>33</v>
      </c>
      <c r="E147" t="s">
        <v>278</v>
      </c>
      <c r="F147" t="s">
        <v>279</v>
      </c>
      <c r="G147">
        <v>-16900</v>
      </c>
      <c r="H147" t="s">
        <v>154</v>
      </c>
      <c r="I147" t="s">
        <v>165</v>
      </c>
    </row>
    <row r="148" spans="1:9">
      <c r="A148" s="50">
        <v>46275</v>
      </c>
      <c r="B148" s="51">
        <v>0.485775462962963</v>
      </c>
      <c r="C148" t="s">
        <v>156</v>
      </c>
      <c r="D148" t="s">
        <v>280</v>
      </c>
      <c r="E148" t="s">
        <v>158</v>
      </c>
      <c r="F148" t="s">
        <v>281</v>
      </c>
      <c r="G148">
        <v>46000</v>
      </c>
      <c r="H148" t="s">
        <v>154</v>
      </c>
      <c r="I148" t="s">
        <v>51</v>
      </c>
    </row>
    <row r="149" spans="1:9">
      <c r="A149" s="50">
        <v>46275</v>
      </c>
      <c r="B149" s="51">
        <v>0.484375</v>
      </c>
      <c r="C149" t="s">
        <v>151</v>
      </c>
      <c r="D149" t="s">
        <v>27</v>
      </c>
      <c r="E149" t="s">
        <v>241</v>
      </c>
      <c r="F149" t="s">
        <v>282</v>
      </c>
      <c r="G149">
        <v>-10950</v>
      </c>
      <c r="H149" t="s">
        <v>154</v>
      </c>
      <c r="I149" t="s">
        <v>165</v>
      </c>
    </row>
    <row r="150" spans="1:9">
      <c r="A150" s="50">
        <v>46275</v>
      </c>
      <c r="B150" s="51">
        <v>0.4681018518518518</v>
      </c>
      <c r="C150" t="s">
        <v>151</v>
      </c>
      <c r="D150" t="s">
        <v>30</v>
      </c>
      <c r="E150" t="s">
        <v>163</v>
      </c>
      <c r="F150" t="s">
        <v>166</v>
      </c>
      <c r="G150">
        <v>-8990</v>
      </c>
      <c r="H150" t="s">
        <v>154</v>
      </c>
      <c r="I150" t="s">
        <v>165</v>
      </c>
    </row>
    <row r="151" spans="1:9">
      <c r="A151" s="50">
        <v>46275</v>
      </c>
      <c r="B151" s="51">
        <v>0.4127546296296296</v>
      </c>
      <c r="C151" t="s">
        <v>156</v>
      </c>
      <c r="D151" t="s">
        <v>156</v>
      </c>
      <c r="E151" t="s">
        <v>158</v>
      </c>
      <c r="F151" t="s">
        <v>283</v>
      </c>
      <c r="G151">
        <v>30300</v>
      </c>
      <c r="H151" t="s">
        <v>154</v>
      </c>
      <c r="I151" t="s">
        <v>51</v>
      </c>
    </row>
    <row r="152" spans="1:9">
      <c r="A152" s="50">
        <v>46275</v>
      </c>
      <c r="B152" s="51">
        <v>0</v>
      </c>
      <c r="C152" t="s">
        <v>151</v>
      </c>
      <c r="D152" t="s">
        <v>30</v>
      </c>
      <c r="E152" t="s">
        <v>163</v>
      </c>
      <c r="F152" t="s">
        <v>284</v>
      </c>
      <c r="G152">
        <v>8070</v>
      </c>
      <c r="H152" t="s">
        <v>154</v>
      </c>
      <c r="I152" t="s">
        <v>165</v>
      </c>
    </row>
    <row r="153" spans="1:9">
      <c r="A153" s="50">
        <v>46274</v>
      </c>
      <c r="B153" s="51">
        <v>0.5143402777777778</v>
      </c>
      <c r="C153" t="s">
        <v>151</v>
      </c>
      <c r="D153" t="s">
        <v>31</v>
      </c>
      <c r="E153" t="s">
        <v>285</v>
      </c>
      <c r="F153" t="s">
        <v>286</v>
      </c>
      <c r="G153">
        <v>-75700</v>
      </c>
      <c r="H153" t="s">
        <v>154</v>
      </c>
      <c r="I153" t="s">
        <v>162</v>
      </c>
    </row>
    <row r="154" spans="1:9">
      <c r="A154" s="50">
        <v>46274</v>
      </c>
      <c r="B154" s="51">
        <v>0.4895833333333333</v>
      </c>
      <c r="C154" t="s">
        <v>151</v>
      </c>
      <c r="D154" t="s">
        <v>30</v>
      </c>
      <c r="E154" t="s">
        <v>163</v>
      </c>
      <c r="F154" t="s">
        <v>287</v>
      </c>
      <c r="G154">
        <v>-15960</v>
      </c>
      <c r="H154" t="s">
        <v>154</v>
      </c>
      <c r="I154" t="s">
        <v>191</v>
      </c>
    </row>
    <row r="155" spans="1:9">
      <c r="A155" s="50">
        <v>46274</v>
      </c>
      <c r="B155" s="51">
        <v>0.3210532407407408</v>
      </c>
      <c r="C155" t="s">
        <v>156</v>
      </c>
      <c r="D155" t="s">
        <v>156</v>
      </c>
      <c r="E155" t="s">
        <v>158</v>
      </c>
      <c r="F155" t="s">
        <v>288</v>
      </c>
      <c r="G155">
        <v>1800</v>
      </c>
      <c r="H155" t="s">
        <v>154</v>
      </c>
      <c r="I155" t="s">
        <v>46</v>
      </c>
    </row>
    <row r="156" spans="1:9">
      <c r="A156" s="50">
        <v>46273</v>
      </c>
      <c r="B156" s="51">
        <v>0.7139236111111111</v>
      </c>
      <c r="C156" t="s">
        <v>151</v>
      </c>
      <c r="D156" t="s">
        <v>27</v>
      </c>
      <c r="E156" t="s">
        <v>168</v>
      </c>
      <c r="F156" t="s">
        <v>169</v>
      </c>
      <c r="G156">
        <v>-11000</v>
      </c>
      <c r="H156" t="s">
        <v>154</v>
      </c>
      <c r="I156" t="s">
        <v>224</v>
      </c>
    </row>
    <row r="157" spans="1:9">
      <c r="A157" s="50">
        <v>46273</v>
      </c>
      <c r="B157" s="51">
        <v>0.7139236111111111</v>
      </c>
      <c r="C157" t="s">
        <v>151</v>
      </c>
      <c r="D157" t="s">
        <v>27</v>
      </c>
      <c r="E157" t="s">
        <v>168</v>
      </c>
      <c r="F157" t="s">
        <v>169</v>
      </c>
      <c r="G157">
        <v>-3200</v>
      </c>
      <c r="H157" t="s">
        <v>154</v>
      </c>
      <c r="I157" t="s">
        <v>224</v>
      </c>
    </row>
    <row r="158" spans="1:9">
      <c r="A158" s="50">
        <v>46273</v>
      </c>
      <c r="B158" s="51">
        <v>0.4848263888888889</v>
      </c>
      <c r="C158" t="s">
        <v>151</v>
      </c>
      <c r="D158" t="s">
        <v>32</v>
      </c>
      <c r="E158" t="s">
        <v>158</v>
      </c>
      <c r="F158" t="s">
        <v>243</v>
      </c>
      <c r="G158">
        <v>-5800</v>
      </c>
      <c r="H158" t="s">
        <v>154</v>
      </c>
      <c r="I158" t="s">
        <v>165</v>
      </c>
    </row>
    <row r="159" spans="1:9">
      <c r="A159" s="50">
        <v>46273</v>
      </c>
      <c r="B159" s="51">
        <v>0.4845949074074074</v>
      </c>
      <c r="C159" t="s">
        <v>151</v>
      </c>
      <c r="D159" t="s">
        <v>32</v>
      </c>
      <c r="E159" t="s">
        <v>158</v>
      </c>
      <c r="F159" t="s">
        <v>243</v>
      </c>
      <c r="G159">
        <v>-5800</v>
      </c>
      <c r="H159" t="s">
        <v>154</v>
      </c>
      <c r="I159" t="s">
        <v>165</v>
      </c>
    </row>
    <row r="160" spans="1:9">
      <c r="A160" s="50">
        <v>46272</v>
      </c>
      <c r="B160" s="51">
        <v>0.7846180555555555</v>
      </c>
      <c r="C160" t="s">
        <v>151</v>
      </c>
      <c r="D160" t="s">
        <v>30</v>
      </c>
      <c r="E160" t="s">
        <v>163</v>
      </c>
      <c r="F160" t="s">
        <v>247</v>
      </c>
      <c r="G160">
        <v>-45500</v>
      </c>
      <c r="H160" t="s">
        <v>154</v>
      </c>
      <c r="I160" t="s">
        <v>191</v>
      </c>
    </row>
    <row r="161" spans="1:9">
      <c r="A161" s="50">
        <v>46272</v>
      </c>
      <c r="B161" s="51">
        <v>0.7540162037037037</v>
      </c>
      <c r="C161" t="s">
        <v>156</v>
      </c>
      <c r="D161" t="s">
        <v>156</v>
      </c>
      <c r="E161" t="s">
        <v>158</v>
      </c>
      <c r="F161" t="s">
        <v>289</v>
      </c>
      <c r="G161">
        <v>-3000</v>
      </c>
      <c r="H161" t="s">
        <v>154</v>
      </c>
      <c r="I161" t="s">
        <v>57</v>
      </c>
    </row>
    <row r="162" spans="1:9">
      <c r="A162" s="50">
        <v>46272</v>
      </c>
      <c r="B162" s="51">
        <v>0.6604050925925926</v>
      </c>
      <c r="C162" t="s">
        <v>151</v>
      </c>
      <c r="D162" t="s">
        <v>30</v>
      </c>
      <c r="E162" t="s">
        <v>163</v>
      </c>
      <c r="F162" t="s">
        <v>247</v>
      </c>
      <c r="G162">
        <v>-13290</v>
      </c>
      <c r="H162" t="s">
        <v>154</v>
      </c>
      <c r="I162" t="s">
        <v>191</v>
      </c>
    </row>
    <row r="163" spans="1:9">
      <c r="A163" s="50">
        <v>46272</v>
      </c>
      <c r="B163" s="51">
        <v>0.6207638888888889</v>
      </c>
      <c r="C163" t="s">
        <v>151</v>
      </c>
      <c r="D163" t="s">
        <v>30</v>
      </c>
      <c r="E163" t="s">
        <v>163</v>
      </c>
      <c r="F163" t="s">
        <v>164</v>
      </c>
      <c r="G163">
        <v>-5999</v>
      </c>
      <c r="H163" t="s">
        <v>154</v>
      </c>
      <c r="I163" t="s">
        <v>165</v>
      </c>
    </row>
    <row r="164" spans="1:9">
      <c r="A164" s="50">
        <v>46272</v>
      </c>
      <c r="B164" s="51">
        <v>0.5659837962962962</v>
      </c>
      <c r="C164" t="s">
        <v>151</v>
      </c>
      <c r="D164" t="s">
        <v>30</v>
      </c>
      <c r="E164" t="s">
        <v>163</v>
      </c>
      <c r="F164" t="s">
        <v>247</v>
      </c>
      <c r="G164">
        <v>-24290</v>
      </c>
      <c r="H164" t="s">
        <v>154</v>
      </c>
      <c r="I164" t="s">
        <v>191</v>
      </c>
    </row>
    <row r="165" spans="1:9">
      <c r="A165" s="50">
        <v>46272</v>
      </c>
      <c r="B165" s="51">
        <v>0.4810300925925926</v>
      </c>
      <c r="C165" t="s">
        <v>151</v>
      </c>
      <c r="D165" t="s">
        <v>30</v>
      </c>
      <c r="E165" t="s">
        <v>170</v>
      </c>
      <c r="F165" t="s">
        <v>290</v>
      </c>
      <c r="G165">
        <v>-4900</v>
      </c>
      <c r="H165" t="s">
        <v>154</v>
      </c>
      <c r="I165" t="s">
        <v>155</v>
      </c>
    </row>
    <row r="166" spans="1:9">
      <c r="A166" s="50">
        <v>46272</v>
      </c>
      <c r="B166" s="51">
        <v>0.462650462962963</v>
      </c>
      <c r="C166" t="s">
        <v>156</v>
      </c>
      <c r="D166" t="s">
        <v>184</v>
      </c>
      <c r="E166" t="s">
        <v>158</v>
      </c>
      <c r="F166" t="s">
        <v>291</v>
      </c>
      <c r="G166">
        <v>26100</v>
      </c>
      <c r="H166" t="s">
        <v>154</v>
      </c>
      <c r="I166" t="s">
        <v>51</v>
      </c>
    </row>
    <row r="167" spans="1:9">
      <c r="A167" s="50">
        <v>46272</v>
      </c>
      <c r="B167" s="51">
        <v>0.4623263888888889</v>
      </c>
      <c r="C167" t="s">
        <v>156</v>
      </c>
      <c r="D167" t="s">
        <v>184</v>
      </c>
      <c r="E167" t="s">
        <v>158</v>
      </c>
      <c r="F167" t="s">
        <v>292</v>
      </c>
      <c r="G167">
        <v>13800</v>
      </c>
      <c r="H167" t="s">
        <v>154</v>
      </c>
      <c r="I167" t="s">
        <v>51</v>
      </c>
    </row>
    <row r="168" spans="1:9">
      <c r="A168" s="50">
        <v>46272</v>
      </c>
      <c r="B168" s="51">
        <v>0.3851157407407407</v>
      </c>
      <c r="C168" t="s">
        <v>156</v>
      </c>
      <c r="D168" t="s">
        <v>280</v>
      </c>
      <c r="E168" t="s">
        <v>158</v>
      </c>
      <c r="F168" t="s">
        <v>293</v>
      </c>
      <c r="G168">
        <v>2450</v>
      </c>
      <c r="H168" t="s">
        <v>154</v>
      </c>
      <c r="I168" t="s">
        <v>53</v>
      </c>
    </row>
    <row r="169" spans="1:9">
      <c r="A169" s="50">
        <v>46272</v>
      </c>
      <c r="B169" s="51">
        <v>0</v>
      </c>
      <c r="C169" t="s">
        <v>151</v>
      </c>
      <c r="D169" t="s">
        <v>30</v>
      </c>
      <c r="E169" t="s">
        <v>163</v>
      </c>
      <c r="F169" t="s">
        <v>294</v>
      </c>
      <c r="G169">
        <v>2198</v>
      </c>
      <c r="H169" t="s">
        <v>154</v>
      </c>
      <c r="I169" t="s">
        <v>165</v>
      </c>
    </row>
    <row r="170" spans="1:9">
      <c r="A170" s="50">
        <v>46271</v>
      </c>
      <c r="B170" s="51">
        <v>0.9272569444444444</v>
      </c>
      <c r="C170" t="s">
        <v>156</v>
      </c>
      <c r="D170" t="s">
        <v>156</v>
      </c>
      <c r="E170" t="s">
        <v>158</v>
      </c>
      <c r="F170" t="s">
        <v>295</v>
      </c>
      <c r="G170">
        <v>30000</v>
      </c>
      <c r="H170" t="s">
        <v>154</v>
      </c>
      <c r="I170" t="s">
        <v>19</v>
      </c>
    </row>
    <row r="171" spans="1:9">
      <c r="A171" s="50">
        <v>46271</v>
      </c>
      <c r="B171" s="51">
        <v>0.7856828703703703</v>
      </c>
      <c r="C171" t="s">
        <v>151</v>
      </c>
      <c r="D171" t="s">
        <v>29</v>
      </c>
      <c r="E171" t="s">
        <v>296</v>
      </c>
      <c r="F171" t="s">
        <v>247</v>
      </c>
      <c r="G171">
        <v>-138000</v>
      </c>
      <c r="H171" t="s">
        <v>154</v>
      </c>
      <c r="I171" t="s">
        <v>191</v>
      </c>
    </row>
    <row r="172" spans="1:9">
      <c r="A172" s="50">
        <v>46271</v>
      </c>
      <c r="B172" s="51">
        <v>0.6121412037037037</v>
      </c>
      <c r="C172" t="s">
        <v>151</v>
      </c>
      <c r="D172" t="s">
        <v>32</v>
      </c>
      <c r="E172" t="s">
        <v>158</v>
      </c>
      <c r="F172" t="s">
        <v>297</v>
      </c>
      <c r="G172">
        <v>-5800</v>
      </c>
      <c r="H172" t="s">
        <v>154</v>
      </c>
      <c r="I172" t="s">
        <v>165</v>
      </c>
    </row>
    <row r="173" spans="1:9">
      <c r="A173" s="50">
        <v>46271</v>
      </c>
      <c r="B173" s="51">
        <v>0.4456134259259259</v>
      </c>
      <c r="C173" t="s">
        <v>151</v>
      </c>
      <c r="D173" t="s">
        <v>30</v>
      </c>
      <c r="E173" t="s">
        <v>163</v>
      </c>
      <c r="F173" t="s">
        <v>298</v>
      </c>
      <c r="G173">
        <v>-45900</v>
      </c>
      <c r="H173" t="s">
        <v>154</v>
      </c>
      <c r="I173" t="s">
        <v>191</v>
      </c>
    </row>
    <row r="174" spans="1:9">
      <c r="A174" s="50">
        <v>46270</v>
      </c>
      <c r="B174" s="51">
        <v>0.5874884259259259</v>
      </c>
      <c r="C174" t="s">
        <v>151</v>
      </c>
      <c r="D174" t="s">
        <v>24</v>
      </c>
      <c r="E174" t="s">
        <v>299</v>
      </c>
      <c r="F174" t="s">
        <v>300</v>
      </c>
      <c r="G174">
        <v>-24000</v>
      </c>
      <c r="H174" t="s">
        <v>154</v>
      </c>
      <c r="I174" t="s">
        <v>162</v>
      </c>
    </row>
    <row r="175" spans="1:9">
      <c r="A175" s="50">
        <v>46270</v>
      </c>
      <c r="B175" s="51">
        <v>0.1218055555555556</v>
      </c>
      <c r="C175" t="s">
        <v>151</v>
      </c>
      <c r="D175" t="s">
        <v>30</v>
      </c>
      <c r="E175" t="s">
        <v>170</v>
      </c>
      <c r="F175" t="s">
        <v>301</v>
      </c>
      <c r="G175">
        <v>-2500</v>
      </c>
      <c r="H175" t="s">
        <v>154</v>
      </c>
      <c r="I175" t="s">
        <v>172</v>
      </c>
    </row>
    <row r="176" spans="1:9">
      <c r="A176" s="50">
        <v>46269</v>
      </c>
      <c r="B176" s="51">
        <v>0.9596296296296296</v>
      </c>
      <c r="C176" t="s">
        <v>156</v>
      </c>
      <c r="D176" t="s">
        <v>160</v>
      </c>
      <c r="E176" t="s">
        <v>158</v>
      </c>
      <c r="F176" t="s">
        <v>302</v>
      </c>
      <c r="G176">
        <v>-650000</v>
      </c>
      <c r="H176" t="s">
        <v>154</v>
      </c>
      <c r="I176" t="s">
        <v>57</v>
      </c>
    </row>
    <row r="177" spans="1:9">
      <c r="A177" s="50">
        <v>46269</v>
      </c>
      <c r="B177" s="51">
        <v>0.8024074074074075</v>
      </c>
      <c r="C177" t="s">
        <v>151</v>
      </c>
      <c r="D177" t="s">
        <v>25</v>
      </c>
      <c r="E177" t="s">
        <v>158</v>
      </c>
      <c r="F177" t="s">
        <v>303</v>
      </c>
      <c r="G177">
        <v>-107500</v>
      </c>
      <c r="H177" t="s">
        <v>154</v>
      </c>
      <c r="I177" t="s">
        <v>179</v>
      </c>
    </row>
    <row r="178" spans="1:9">
      <c r="A178" s="50">
        <v>46269</v>
      </c>
      <c r="B178" s="51">
        <v>0.6524421296296297</v>
      </c>
      <c r="C178" t="s">
        <v>151</v>
      </c>
      <c r="D178" t="s">
        <v>21</v>
      </c>
      <c r="E178" t="s">
        <v>304</v>
      </c>
      <c r="F178" t="s">
        <v>305</v>
      </c>
      <c r="G178">
        <v>-19000</v>
      </c>
      <c r="H178" t="s">
        <v>154</v>
      </c>
      <c r="I178" t="s">
        <v>155</v>
      </c>
    </row>
    <row r="179" spans="1:9">
      <c r="A179" s="50">
        <v>46269</v>
      </c>
      <c r="B179" s="51">
        <v>0.635150462962963</v>
      </c>
      <c r="C179" t="s">
        <v>151</v>
      </c>
      <c r="D179" t="s">
        <v>28</v>
      </c>
      <c r="E179" t="s">
        <v>158</v>
      </c>
      <c r="F179" t="s">
        <v>306</v>
      </c>
      <c r="G179">
        <v>-10750</v>
      </c>
      <c r="H179" t="s">
        <v>154</v>
      </c>
      <c r="I179" t="s">
        <v>165</v>
      </c>
    </row>
    <row r="180" spans="1:9">
      <c r="A180" s="50">
        <v>46269</v>
      </c>
      <c r="B180" s="51">
        <v>0.634375</v>
      </c>
      <c r="C180" t="s">
        <v>151</v>
      </c>
      <c r="D180" t="s">
        <v>23</v>
      </c>
      <c r="E180" t="s">
        <v>255</v>
      </c>
      <c r="F180" t="s">
        <v>307</v>
      </c>
      <c r="G180">
        <v>-55000</v>
      </c>
      <c r="H180" t="s">
        <v>154</v>
      </c>
      <c r="I180" t="s">
        <v>179</v>
      </c>
    </row>
    <row r="181" spans="1:9">
      <c r="A181" s="50">
        <v>46269</v>
      </c>
      <c r="B181" s="51">
        <v>0.4866666666666667</v>
      </c>
      <c r="C181" t="s">
        <v>151</v>
      </c>
      <c r="D181" t="s">
        <v>27</v>
      </c>
      <c r="E181" t="s">
        <v>200</v>
      </c>
      <c r="F181" t="s">
        <v>308</v>
      </c>
      <c r="G181">
        <v>-5500</v>
      </c>
      <c r="H181" t="s">
        <v>154</v>
      </c>
      <c r="I181" t="s">
        <v>165</v>
      </c>
    </row>
    <row r="182" spans="1:9">
      <c r="A182" s="50">
        <v>46269</v>
      </c>
      <c r="B182" s="51">
        <v>0.4397569444444445</v>
      </c>
      <c r="C182" t="s">
        <v>151</v>
      </c>
      <c r="D182" t="s">
        <v>30</v>
      </c>
      <c r="E182" t="s">
        <v>163</v>
      </c>
      <c r="F182" t="s">
        <v>274</v>
      </c>
      <c r="G182">
        <v>-5700</v>
      </c>
      <c r="H182" t="s">
        <v>154</v>
      </c>
      <c r="I182" t="s">
        <v>275</v>
      </c>
    </row>
    <row r="183" spans="1:9">
      <c r="A183" s="50">
        <v>46269</v>
      </c>
      <c r="B183" s="51">
        <v>0.4259490740740741</v>
      </c>
      <c r="C183" t="s">
        <v>151</v>
      </c>
      <c r="D183" t="s">
        <v>27</v>
      </c>
      <c r="E183" t="s">
        <v>309</v>
      </c>
      <c r="F183" t="s">
        <v>310</v>
      </c>
      <c r="G183">
        <v>-15230</v>
      </c>
      <c r="H183" t="s">
        <v>154</v>
      </c>
      <c r="I183" t="s">
        <v>155</v>
      </c>
    </row>
    <row r="184" spans="1:9">
      <c r="A184" s="50">
        <v>46268</v>
      </c>
      <c r="B184" s="51">
        <v>0.7114814814814815</v>
      </c>
      <c r="C184" t="s">
        <v>151</v>
      </c>
      <c r="D184" t="s">
        <v>27</v>
      </c>
      <c r="E184" t="s">
        <v>168</v>
      </c>
      <c r="F184" t="s">
        <v>169</v>
      </c>
      <c r="G184">
        <v>-66000</v>
      </c>
      <c r="H184" t="s">
        <v>154</v>
      </c>
      <c r="I184" t="s">
        <v>224</v>
      </c>
    </row>
    <row r="185" spans="1:9">
      <c r="A185" s="50">
        <v>46268</v>
      </c>
      <c r="B185" s="51">
        <v>0.7114814814814815</v>
      </c>
      <c r="C185" t="s">
        <v>151</v>
      </c>
      <c r="D185" t="s">
        <v>27</v>
      </c>
      <c r="E185" t="s">
        <v>168</v>
      </c>
      <c r="F185" t="s">
        <v>169</v>
      </c>
      <c r="G185">
        <v>-4500</v>
      </c>
      <c r="H185" t="s">
        <v>154</v>
      </c>
      <c r="I185" t="s">
        <v>224</v>
      </c>
    </row>
    <row r="186" spans="1:9">
      <c r="A186" s="50">
        <v>46267</v>
      </c>
      <c r="B186" s="51">
        <v>0.8048611111111111</v>
      </c>
      <c r="C186" t="s">
        <v>151</v>
      </c>
      <c r="D186" t="s">
        <v>26</v>
      </c>
      <c r="E186" t="s">
        <v>177</v>
      </c>
      <c r="F186" t="s">
        <v>311</v>
      </c>
      <c r="G186">
        <v>-10600</v>
      </c>
      <c r="H186" t="s">
        <v>154</v>
      </c>
      <c r="I186" t="s">
        <v>224</v>
      </c>
    </row>
    <row r="187" spans="1:9">
      <c r="A187" s="50">
        <v>46267</v>
      </c>
      <c r="B187" s="51">
        <v>0.6966203703703704</v>
      </c>
      <c r="C187" t="s">
        <v>151</v>
      </c>
      <c r="D187" t="s">
        <v>30</v>
      </c>
      <c r="E187" t="s">
        <v>163</v>
      </c>
      <c r="F187" t="s">
        <v>247</v>
      </c>
      <c r="G187">
        <v>-13300</v>
      </c>
      <c r="H187" t="s">
        <v>154</v>
      </c>
      <c r="I187" t="s">
        <v>191</v>
      </c>
    </row>
    <row r="188" spans="1:9">
      <c r="A188" s="50">
        <v>46267</v>
      </c>
      <c r="B188" s="51">
        <v>0.6948842592592592</v>
      </c>
      <c r="C188" t="s">
        <v>151</v>
      </c>
      <c r="D188" t="s">
        <v>30</v>
      </c>
      <c r="E188" t="s">
        <v>163</v>
      </c>
      <c r="F188" t="s">
        <v>247</v>
      </c>
      <c r="G188">
        <v>12300</v>
      </c>
      <c r="H188" t="s">
        <v>154</v>
      </c>
      <c r="I188" t="s">
        <v>191</v>
      </c>
    </row>
    <row r="189" spans="1:9">
      <c r="A189" s="50">
        <v>46267</v>
      </c>
      <c r="B189" s="51">
        <v>0.6648842592592593</v>
      </c>
      <c r="C189" t="s">
        <v>151</v>
      </c>
      <c r="D189" t="s">
        <v>26</v>
      </c>
      <c r="E189" t="s">
        <v>312</v>
      </c>
      <c r="F189" t="s">
        <v>313</v>
      </c>
      <c r="G189">
        <v>-29900</v>
      </c>
      <c r="H189" t="s">
        <v>154</v>
      </c>
      <c r="I189" t="s">
        <v>155</v>
      </c>
    </row>
    <row r="190" spans="1:9">
      <c r="A190" s="50">
        <v>46267</v>
      </c>
      <c r="B190" s="51">
        <v>0.5620138888888889</v>
      </c>
      <c r="C190" t="s">
        <v>151</v>
      </c>
      <c r="D190" t="s">
        <v>30</v>
      </c>
      <c r="E190" t="s">
        <v>163</v>
      </c>
      <c r="F190" t="s">
        <v>314</v>
      </c>
      <c r="G190">
        <v>-120666</v>
      </c>
      <c r="H190" t="s">
        <v>154</v>
      </c>
      <c r="I190" t="s">
        <v>202</v>
      </c>
    </row>
    <row r="191" spans="1:9">
      <c r="A191" s="50">
        <v>46267</v>
      </c>
      <c r="B191" s="51">
        <v>0.4934722222222222</v>
      </c>
      <c r="C191" t="s">
        <v>151</v>
      </c>
      <c r="D191" t="s">
        <v>30</v>
      </c>
      <c r="E191" t="s">
        <v>163</v>
      </c>
      <c r="F191" t="s">
        <v>247</v>
      </c>
      <c r="G191">
        <v>-12300</v>
      </c>
      <c r="H191" t="s">
        <v>154</v>
      </c>
      <c r="I191" t="s">
        <v>191</v>
      </c>
    </row>
    <row r="192" spans="1:9">
      <c r="A192" s="50">
        <v>46267</v>
      </c>
      <c r="B192" s="51">
        <v>0.4763078703703704</v>
      </c>
      <c r="C192" t="s">
        <v>151</v>
      </c>
      <c r="D192" t="s">
        <v>32</v>
      </c>
      <c r="E192" t="s">
        <v>158</v>
      </c>
      <c r="F192" t="s">
        <v>243</v>
      </c>
      <c r="G192">
        <v>-9400</v>
      </c>
      <c r="H192" t="s">
        <v>154</v>
      </c>
      <c r="I192" t="s">
        <v>165</v>
      </c>
    </row>
    <row r="193" spans="1:9">
      <c r="A193" s="50">
        <v>46267</v>
      </c>
      <c r="B193" s="51">
        <v>0.4620833333333333</v>
      </c>
      <c r="C193" t="s">
        <v>151</v>
      </c>
      <c r="D193" t="s">
        <v>30</v>
      </c>
      <c r="E193" t="s">
        <v>163</v>
      </c>
      <c r="F193" t="s">
        <v>166</v>
      </c>
      <c r="G193">
        <v>-5900</v>
      </c>
      <c r="H193" t="s">
        <v>154</v>
      </c>
      <c r="I193" t="s">
        <v>165</v>
      </c>
    </row>
    <row r="194" spans="1:9">
      <c r="A194" s="50">
        <v>46267</v>
      </c>
      <c r="B194" s="51">
        <v>0.4471180555555556</v>
      </c>
      <c r="C194" t="s">
        <v>156</v>
      </c>
      <c r="D194" t="s">
        <v>160</v>
      </c>
      <c r="E194" t="s">
        <v>158</v>
      </c>
      <c r="F194" t="s">
        <v>7</v>
      </c>
      <c r="G194">
        <v>-400000</v>
      </c>
      <c r="H194" t="s">
        <v>154</v>
      </c>
      <c r="I194" t="s">
        <v>57</v>
      </c>
    </row>
    <row r="195" spans="1:9">
      <c r="A195" s="50">
        <v>46267</v>
      </c>
      <c r="B195" s="51">
        <v>0.4467939814814815</v>
      </c>
      <c r="C195" t="s">
        <v>156</v>
      </c>
      <c r="D195" t="s">
        <v>156</v>
      </c>
      <c r="E195" t="s">
        <v>158</v>
      </c>
      <c r="F195" t="s">
        <v>315</v>
      </c>
      <c r="G195">
        <v>-200000</v>
      </c>
      <c r="H195" t="s">
        <v>154</v>
      </c>
      <c r="I195" t="s">
        <v>57</v>
      </c>
    </row>
    <row r="196" spans="1:9">
      <c r="A196" s="50">
        <v>46267</v>
      </c>
      <c r="B196" s="51">
        <v>0.3842824074074074</v>
      </c>
      <c r="C196" t="s">
        <v>156</v>
      </c>
      <c r="D196" t="s">
        <v>280</v>
      </c>
      <c r="E196" t="s">
        <v>158</v>
      </c>
      <c r="F196" t="s">
        <v>316</v>
      </c>
      <c r="G196">
        <v>380000</v>
      </c>
      <c r="H196" t="s">
        <v>154</v>
      </c>
      <c r="I196" t="s">
        <v>19</v>
      </c>
    </row>
    <row r="197" spans="1:9">
      <c r="A197" s="50">
        <v>46267</v>
      </c>
      <c r="B197" s="51">
        <v>0.3842824074074074</v>
      </c>
      <c r="C197" t="s">
        <v>156</v>
      </c>
      <c r="D197" t="s">
        <v>160</v>
      </c>
      <c r="E197" t="s">
        <v>158</v>
      </c>
      <c r="F197" t="s">
        <v>7</v>
      </c>
      <c r="G197">
        <v>138340</v>
      </c>
      <c r="H197" t="s">
        <v>154</v>
      </c>
      <c r="I197" t="s">
        <v>53</v>
      </c>
    </row>
    <row r="198" spans="1:9">
      <c r="A198" s="50">
        <v>46267</v>
      </c>
      <c r="B198" s="51">
        <v>0.1368055555555556</v>
      </c>
      <c r="C198" t="s">
        <v>182</v>
      </c>
      <c r="D198" t="s">
        <v>18</v>
      </c>
      <c r="E198" t="s">
        <v>158</v>
      </c>
      <c r="F198" t="s">
        <v>317</v>
      </c>
      <c r="G198">
        <v>30000</v>
      </c>
      <c r="H198" t="s">
        <v>154</v>
      </c>
      <c r="I198" t="s">
        <v>43</v>
      </c>
    </row>
    <row r="199" spans="1:9">
      <c r="A199" s="50">
        <v>46267</v>
      </c>
      <c r="B199" s="51">
        <v>0.07296296296296297</v>
      </c>
      <c r="C199" t="s">
        <v>151</v>
      </c>
      <c r="D199" t="s">
        <v>30</v>
      </c>
      <c r="E199" t="s">
        <v>163</v>
      </c>
      <c r="F199" t="s">
        <v>166</v>
      </c>
      <c r="G199">
        <v>-9630</v>
      </c>
      <c r="H199" t="s">
        <v>154</v>
      </c>
      <c r="I199" t="s">
        <v>165</v>
      </c>
    </row>
    <row r="200" spans="1:9">
      <c r="A200" s="50">
        <v>46267</v>
      </c>
      <c r="B200" s="51">
        <v>0.07162037037037038</v>
      </c>
      <c r="C200" t="s">
        <v>151</v>
      </c>
      <c r="D200" t="s">
        <v>30</v>
      </c>
      <c r="E200" t="s">
        <v>163</v>
      </c>
      <c r="F200" t="s">
        <v>247</v>
      </c>
      <c r="G200">
        <v>-19600</v>
      </c>
      <c r="H200" t="s">
        <v>154</v>
      </c>
      <c r="I200" t="s">
        <v>191</v>
      </c>
    </row>
    <row r="201" spans="1:9">
      <c r="A201" s="50">
        <v>46267</v>
      </c>
      <c r="B201" s="51">
        <v>0.06905092592592593</v>
      </c>
      <c r="C201" t="s">
        <v>151</v>
      </c>
      <c r="D201" t="s">
        <v>30</v>
      </c>
      <c r="E201" t="s">
        <v>163</v>
      </c>
      <c r="F201" t="s">
        <v>247</v>
      </c>
      <c r="G201">
        <v>-16700</v>
      </c>
      <c r="H201" t="s">
        <v>154</v>
      </c>
      <c r="I201" t="s">
        <v>191</v>
      </c>
    </row>
    <row r="202" spans="1:9">
      <c r="A202" s="50">
        <v>46267</v>
      </c>
      <c r="B202" s="51">
        <v>0.05208333333333334</v>
      </c>
      <c r="C202" t="s">
        <v>151</v>
      </c>
      <c r="D202" t="s">
        <v>30</v>
      </c>
      <c r="E202" t="s">
        <v>163</v>
      </c>
      <c r="F202" t="s">
        <v>164</v>
      </c>
      <c r="G202">
        <v>-15960</v>
      </c>
      <c r="H202" t="s">
        <v>154</v>
      </c>
      <c r="I202" t="s">
        <v>165</v>
      </c>
    </row>
    <row r="203" spans="1:9">
      <c r="A203" s="50">
        <v>46266</v>
      </c>
      <c r="B203" s="51">
        <v>0.7241319444444444</v>
      </c>
      <c r="C203" t="s">
        <v>156</v>
      </c>
      <c r="D203" t="s">
        <v>160</v>
      </c>
      <c r="E203" t="s">
        <v>158</v>
      </c>
      <c r="F203" t="s">
        <v>318</v>
      </c>
      <c r="G203">
        <v>574000</v>
      </c>
      <c r="H203" t="s">
        <v>154</v>
      </c>
      <c r="I203" t="s">
        <v>19</v>
      </c>
    </row>
    <row r="204" spans="1:9">
      <c r="A204" s="50">
        <v>46266</v>
      </c>
      <c r="B204" s="51">
        <v>0.6265625</v>
      </c>
      <c r="C204" t="s">
        <v>151</v>
      </c>
      <c r="D204" t="s">
        <v>30</v>
      </c>
      <c r="E204" t="s">
        <v>319</v>
      </c>
      <c r="F204" t="s">
        <v>320</v>
      </c>
      <c r="G204">
        <v>-5000</v>
      </c>
      <c r="H204" t="s">
        <v>154</v>
      </c>
      <c r="I204" t="s">
        <v>165</v>
      </c>
    </row>
    <row r="205" spans="1:9">
      <c r="A205" s="50">
        <v>46266</v>
      </c>
      <c r="B205" s="51">
        <v>0.5921990740740741</v>
      </c>
      <c r="C205" t="s">
        <v>156</v>
      </c>
      <c r="D205" t="s">
        <v>156</v>
      </c>
      <c r="E205" t="s">
        <v>158</v>
      </c>
      <c r="F205" t="s">
        <v>54</v>
      </c>
      <c r="G205">
        <v>-2774768</v>
      </c>
      <c r="H205" t="s">
        <v>154</v>
      </c>
      <c r="I205" t="s">
        <v>54</v>
      </c>
    </row>
    <row r="206" spans="1:9">
      <c r="A206" s="50">
        <v>46266</v>
      </c>
      <c r="B206" s="51">
        <v>0.5789583333333334</v>
      </c>
      <c r="C206" t="s">
        <v>156</v>
      </c>
      <c r="D206" t="s">
        <v>156</v>
      </c>
      <c r="E206" t="s">
        <v>158</v>
      </c>
      <c r="F206" t="s">
        <v>321</v>
      </c>
      <c r="G206">
        <v>96270</v>
      </c>
      <c r="H206" t="s">
        <v>154</v>
      </c>
      <c r="I206" t="s">
        <v>19</v>
      </c>
    </row>
    <row r="207" spans="1:9">
      <c r="A207" s="50">
        <v>46266</v>
      </c>
      <c r="B207" s="51">
        <v>0.5659143518518519</v>
      </c>
      <c r="C207" t="s">
        <v>156</v>
      </c>
      <c r="D207" t="s">
        <v>63</v>
      </c>
      <c r="E207" t="s">
        <v>158</v>
      </c>
      <c r="F207" t="s">
        <v>322</v>
      </c>
      <c r="G207">
        <v>70870</v>
      </c>
      <c r="H207" t="s">
        <v>154</v>
      </c>
      <c r="I207" t="s">
        <v>19</v>
      </c>
    </row>
    <row r="208" spans="1:9">
      <c r="A208" s="50">
        <v>46266</v>
      </c>
      <c r="B208" s="51">
        <v>0.5183796296296296</v>
      </c>
      <c r="C208" t="s">
        <v>151</v>
      </c>
      <c r="D208" t="s">
        <v>30</v>
      </c>
      <c r="E208" t="s">
        <v>163</v>
      </c>
      <c r="F208" t="s">
        <v>247</v>
      </c>
      <c r="G208">
        <v>-25600</v>
      </c>
      <c r="H208" t="s">
        <v>154</v>
      </c>
      <c r="I208" t="s">
        <v>191</v>
      </c>
    </row>
    <row r="209" spans="1:9">
      <c r="A209" s="50">
        <v>46266</v>
      </c>
      <c r="B209" s="51">
        <v>0.4710995370370371</v>
      </c>
      <c r="C209" t="s">
        <v>151</v>
      </c>
      <c r="D209" t="s">
        <v>30</v>
      </c>
      <c r="E209" t="s">
        <v>163</v>
      </c>
      <c r="F209" t="s">
        <v>166</v>
      </c>
      <c r="G209">
        <v>-7900</v>
      </c>
      <c r="H209" t="s">
        <v>154</v>
      </c>
      <c r="I209" t="s">
        <v>165</v>
      </c>
    </row>
    <row r="210" spans="1:9">
      <c r="A210" s="50">
        <v>46266</v>
      </c>
      <c r="B210" s="51">
        <v>0.4085300925925926</v>
      </c>
      <c r="C210" t="s">
        <v>151</v>
      </c>
      <c r="D210" t="s">
        <v>30</v>
      </c>
      <c r="E210" t="s">
        <v>163</v>
      </c>
      <c r="F210" t="s">
        <v>323</v>
      </c>
      <c r="G210">
        <v>-2900</v>
      </c>
      <c r="H210" t="s">
        <v>154</v>
      </c>
      <c r="I210" t="s">
        <v>179</v>
      </c>
    </row>
    <row r="211" spans="1:9">
      <c r="A211" s="50">
        <v>46266</v>
      </c>
      <c r="B211" s="51">
        <v>0.3812847222222222</v>
      </c>
      <c r="C211" t="s">
        <v>151</v>
      </c>
      <c r="D211" t="s">
        <v>30</v>
      </c>
      <c r="E211" t="s">
        <v>163</v>
      </c>
      <c r="F211" t="s">
        <v>247</v>
      </c>
      <c r="G211">
        <v>-62050</v>
      </c>
      <c r="H211" t="s">
        <v>154</v>
      </c>
      <c r="I211" t="s">
        <v>191</v>
      </c>
    </row>
    <row r="212" spans="1:9">
      <c r="A212" s="50">
        <v>46266</v>
      </c>
      <c r="B212" s="51">
        <v>0.3749652777777778</v>
      </c>
      <c r="C212" t="s">
        <v>151</v>
      </c>
      <c r="D212" t="s">
        <v>31</v>
      </c>
      <c r="E212" t="s">
        <v>324</v>
      </c>
      <c r="F212" t="s">
        <v>325</v>
      </c>
      <c r="G212">
        <v>-51840</v>
      </c>
      <c r="H212" t="s">
        <v>154</v>
      </c>
      <c r="I21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2026-09-28T16:20:25Z</dcterms:created>
  <dcterms:modified xsi:type="dcterms:W3CDTF">2026-09-28T16:20:25Z</dcterms:modified>
</cp:coreProperties>
</file>