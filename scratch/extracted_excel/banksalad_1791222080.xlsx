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<sst xmlns="http://schemas.openxmlformats.org/spreadsheetml/2006/main" count="332" uniqueCount="181">
  <si>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</si>
  <si>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</si>
  <si>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</si>
  <si>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</si>
  <si>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</si>
  <si>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</si>
  <si>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</si>
  <si>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</si>
  <si>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</si>
  <si>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</si>
  <si>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</si>
  <si>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</si>
  <si>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</si>
  <si>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</si>
  <si>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</si>
  <si>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2026-10</t>
  </si>
  <si>
    <t>월수입 총계</t>
  </si>
  <si>
    <t>생활</t>
  </si>
  <si>
    <t>식비</t>
  </si>
  <si>
    <t>여행비</t>
  </si>
  <si>
    <t>온라인쇼핑</t>
  </si>
  <si>
    <t>의료/건강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</si>
  <si>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</si>
  <si>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</si>
  <si>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</si>
  <si>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</si>
  <si>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</si>
  <si>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</si>
  <si>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</si>
  <si>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</si>
  <si>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</si>
  <si>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</si>
  <si>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</si>
  <si>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</si>
  <si>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</si>
  <si>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</si>
  <si>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</si>
  <si>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</si>
  <si>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</si>
  <si>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</si>
  <si>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</si>
  <si>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</si>
  <si>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</si>
  <si>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</si>
  <si>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</si>
  <si>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</si>
  <si>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</si>
  <si>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</si>
  <si>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</si>
  <si>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</si>
  <si>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</si>
  <si>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</si>
  <si>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</si>
  <si>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</si>
  <si>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</si>
  <si>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</si>
  <si>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</si>
  <si>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</si>
  <si>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</si>
  <si>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</si>
  <si>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</si>
  <si>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</si>
  <si>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노타</t>
  </si>
  <si>
    <t>라메디텍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</si>
  <si>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</si>
  <si>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</si>
  <si>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</si>
  <si>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</si>
  <si>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</si>
  <si>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</si>
  <si>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</si>
  <si>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</si>
  <si>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</si>
  <si>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</si>
  <si>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</si>
  <si>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</si>
  <si>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</si>
  <si>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</si>
  <si>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</si>
  <si>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</si>
  <si>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</si>
  <si>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</si>
  <si>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</si>
  <si>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</si>
  <si>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</si>
  <si>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</si>
  <si>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</si>
  <si>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</si>
  <si>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</si>
  <si>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</si>
  <si>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</si>
  <si>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</si>
  <si>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</si>
  <si>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</si>
  <si>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</si>
  <si>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</si>
  <si>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</si>
  <si>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</si>
  <si>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</si>
  <si>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</si>
  <si>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</si>
  <si>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</si>
  <si>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</si>
  <si>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</si>
  <si>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</si>
  <si>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</si>
  <si>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</si>
  <si>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</si>
  <si>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</si>
  <si>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</si>
  <si>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</si>
  <si>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</si>
  <si>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</si>
  <si>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</si>
  <si>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</si>
  <si>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</si>
  <si>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</si>
  <si>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</si>
  <si>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</si>
  <si>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</si>
  <si>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</si>
  <si>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</si>
  <si>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</si>
  <si>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</si>
  <si>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</si>
  <si>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</si>
  <si>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</si>
  <si>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8개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</si>
  <si>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</si>
  <si>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</si>
  <si>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</si>
  <si>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</si>
  <si>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</si>
  <si>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</si>
  <si>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</si>
  <si>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</si>
  <si>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</si>
  <si>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</si>
  <si>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</si>
  <si>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</si>
  <si>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</si>
  <si>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</si>
  <si>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</si>
  <si>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</si>
  <si>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</si>
  <si>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</si>
  <si>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</si>
  <si>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</si>
  <si>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</si>
  <si>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하나카드 주식회사</t>
  </si>
  <si>
    <t>KRW</t>
  </si>
  <si>
    <t>카카오페이 간편결제</t>
  </si>
  <si>
    <t>인터넷쇼핑</t>
  </si>
  <si>
    <t>신세계인터넷면세점_카카오페이</t>
  </si>
  <si>
    <t>하나카드_MG+ S</t>
  </si>
  <si>
    <t>내과/가정의학</t>
  </si>
  <si>
    <t>건강가족</t>
  </si>
  <si>
    <t>우리카드_KT Plus</t>
  </si>
  <si>
    <t>유앤아이의원</t>
  </si>
  <si>
    <t>바움피앤에스 주식회사</t>
  </si>
  <si>
    <t>편의점</t>
  </si>
  <si>
    <t>씨유(CU) 반포대교점</t>
  </si>
  <si>
    <t>백화점</t>
  </si>
  <si>
    <t>신세계면세점</t>
  </si>
  <si>
    <t>신세계백화점 본점</t>
  </si>
  <si>
    <t>패션</t>
  </si>
  <si>
    <t>주식회사 리앤에이에프씨 명동지점</t>
  </si>
  <si>
    <t>간편결제_에스에스지페이먼츠</t>
  </si>
  <si>
    <t>주식회사 스튜디오패뷸러스</t>
  </si>
  <si>
    <t>다동황소막창</t>
  </si>
  <si>
    <t>카카오_카카오페이</t>
  </si>
  <si>
    <t>신한카드_더모아</t>
  </si>
  <si>
    <t>쿠팡(주)</t>
  </si>
  <si>
    <t>인터넷상거래</t>
  </si>
  <si>
    <t>신한카드_다드림 LOVE</t>
  </si>
  <si>
    <t>이조식탁</t>
  </si>
  <si>
    <t>요기요</t>
  </si>
  <si>
    <t>페이코 간편결제</t>
  </si>
  <si>
    <t>결제/충전</t>
  </si>
  <si>
    <t>헥토_구인증</t>
  </si>
  <si>
    <t>일구팔이 컵밥&amp;유부초밥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</si>
</sst>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2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3300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169000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138000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231562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25000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20400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126078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115500</v>
      </c>
    </row>
    <row r="22" spans="2:9">
      <c r="B22" s="11" t="s">
        <v>25</v>
      </c>
      <c r="C22" s="12">
        <f>SUM(E22)</f>
        <v>0</v>
      </c>
      <c r="D22" s="12">
        <f>C22/1</f>
        <v>0</v>
      </c>
      <c r="E22" s="12">
        <f>SUM(E14:E21)</f>
        <v>0</v>
      </c>
    </row>
    <row r="23" spans="2:9">
      <c r="B23" s="15" t="s">
        <v>26</v>
      </c>
      <c r="C23" s="16">
        <f>SUM(E23)</f>
        <v>0</v>
      </c>
      <c r="D23" s="16">
        <f>C23/1</f>
        <v>0</v>
      </c>
      <c r="E23" s="16">
        <f>E13-E22</f>
        <v>0</v>
      </c>
    </row>
    <row r="26" spans="2:9">
      <c r="B26" s="1" t="s">
        <v>27</v>
      </c>
    </row>
    <row r="27" spans="2:9">
      <c r="B27" t="s">
        <v>28</v>
      </c>
    </row>
    <row r="28" spans="2:9">
      <c r="B28" s="17" t="s">
        <v>29</v>
      </c>
      <c r="C28" s="17"/>
      <c r="D28" s="17"/>
      <c r="E28" s="17"/>
      <c r="F28" s="18" t="s">
        <v>30</v>
      </c>
      <c r="G28" s="18"/>
      <c r="H28" s="18"/>
      <c r="I28" s="18"/>
    </row>
    <row r="29" spans="2:9">
      <c r="B29" s="19" t="s">
        <v>12</v>
      </c>
      <c r="C29" s="20" t="s">
        <v>31</v>
      </c>
      <c r="D29" s="20"/>
      <c r="E29" s="20" t="s">
        <v>32</v>
      </c>
      <c r="F29" s="20" t="s">
        <v>12</v>
      </c>
      <c r="G29" s="20" t="s">
        <v>31</v>
      </c>
      <c r="H29" s="20"/>
      <c r="I29" s="20" t="s">
        <v>32</v>
      </c>
    </row>
    <row r="30" spans="2:9">
      <c r="B30" s="21" t="s">
        <v>33</v>
      </c>
      <c r="C30" s="22" t="s">
        <v>34</v>
      </c>
      <c r="D30" s="22"/>
      <c r="E30" s="23">
        <v>627442</v>
      </c>
      <c r="F30" s="24" t="s">
        <v>91</v>
      </c>
      <c r="G30" s="22"/>
      <c r="H30" s="22"/>
      <c r="I30" s="25"/>
    </row>
    <row r="31" spans="2:9">
      <c r="B31" s="21"/>
      <c r="C31" s="22" t="s">
        <v>35</v>
      </c>
      <c r="D31" s="22"/>
      <c r="E31" s="23">
        <v>388</v>
      </c>
      <c r="F31" s="22"/>
      <c r="G31" s="22"/>
      <c r="H31" s="22"/>
      <c r="I31" s="26"/>
    </row>
    <row r="32" spans="2:9">
      <c r="B32" s="21"/>
      <c r="C32" s="22" t="s">
        <v>36</v>
      </c>
      <c r="D32" s="22"/>
      <c r="E32" s="23">
        <v>1</v>
      </c>
      <c r="F32" s="22"/>
      <c r="G32" s="22"/>
      <c r="H32" s="22"/>
      <c r="I32" s="26"/>
    </row>
    <row r="33" spans="2:9">
      <c r="B33" s="21"/>
      <c r="C33" s="22" t="s">
        <v>37</v>
      </c>
      <c r="D33" s="22"/>
      <c r="E33" s="23">
        <v>519342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353490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173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25033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243144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63418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159984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434646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261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0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63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395932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793499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197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0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0</v>
      </c>
      <c r="F48" s="22"/>
      <c r="G48" s="22"/>
      <c r="H48" s="22"/>
      <c r="I48" s="26"/>
    </row>
    <row r="49" spans="2:9">
      <c r="B49" s="21" t="s">
        <v>53</v>
      </c>
      <c r="C49" s="22"/>
      <c r="D49" s="22"/>
      <c r="E49" s="23"/>
      <c r="F49" s="22"/>
      <c r="G49" s="22"/>
      <c r="H49" s="22"/>
      <c r="I49" s="26"/>
    </row>
    <row r="50" spans="2:9">
      <c r="B50" s="21" t="s">
        <v>54</v>
      </c>
      <c r="C50" s="22" t="s">
        <v>55</v>
      </c>
      <c r="D50" s="22"/>
      <c r="E50" s="23">
        <v>0</v>
      </c>
      <c r="F50" s="22"/>
      <c r="G50" s="22"/>
      <c r="H50" s="22"/>
      <c r="I50" s="26"/>
    </row>
    <row r="51" spans="2:9">
      <c r="B51" s="21" t="s">
        <v>56</v>
      </c>
      <c r="C51" s="22" t="s">
        <v>57</v>
      </c>
      <c r="D51" s="22"/>
      <c r="E51" s="23">
        <v>8100000</v>
      </c>
      <c r="F51" s="22"/>
      <c r="G51" s="22"/>
      <c r="H51" s="22"/>
      <c r="I51" s="26"/>
    </row>
    <row r="52" spans="2:9">
      <c r="B52" s="21" t="s">
        <v>58</v>
      </c>
      <c r="C52" s="22" t="s">
        <v>59</v>
      </c>
      <c r="D52" s="22"/>
      <c r="E52" s="23">
        <v>0</v>
      </c>
      <c r="F52" s="22"/>
      <c r="G52" s="22"/>
      <c r="H52" s="22"/>
      <c r="I52" s="26"/>
    </row>
    <row r="53" spans="2:9">
      <c r="B53" s="21"/>
      <c r="C53" s="22" t="s">
        <v>60</v>
      </c>
      <c r="D53" s="22"/>
      <c r="E53" s="23">
        <v>0</v>
      </c>
      <c r="F53" s="22"/>
      <c r="G53" s="22"/>
      <c r="H53" s="22"/>
      <c r="I53" s="26"/>
    </row>
    <row r="54" spans="2:9">
      <c r="B54" s="21" t="s">
        <v>61</v>
      </c>
      <c r="C54" s="22" t="s">
        <v>62</v>
      </c>
      <c r="D54" s="22"/>
      <c r="E54" s="23">
        <v>246000</v>
      </c>
      <c r="F54" s="22"/>
      <c r="G54" s="22"/>
      <c r="H54" s="22"/>
      <c r="I54" s="26"/>
    </row>
    <row r="55" spans="2:9">
      <c r="B55" s="21"/>
      <c r="C55" s="22" t="s">
        <v>63</v>
      </c>
      <c r="D55" s="22"/>
      <c r="E55" s="23">
        <v>3560</v>
      </c>
      <c r="F55" s="22"/>
      <c r="G55" s="22"/>
      <c r="H55" s="22"/>
      <c r="I55" s="26"/>
    </row>
    <row r="56" spans="2:9">
      <c r="B56" s="21"/>
      <c r="C56" s="22" t="s">
        <v>64</v>
      </c>
      <c r="D56" s="22"/>
      <c r="E56" s="23">
        <v>1573764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1417900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1288845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113091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53900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1382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809269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60354.0748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19637.908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1743800.2118</v>
      </c>
      <c r="F65" s="22"/>
      <c r="G65" s="22"/>
      <c r="H65" s="22"/>
      <c r="I65" s="26"/>
    </row>
    <row r="66" spans="2:9">
      <c r="B66" s="21"/>
      <c r="C66" s="22" t="s">
        <v>73</v>
      </c>
      <c r="D66" s="22"/>
      <c r="E66" s="23">
        <v>191501</v>
      </c>
      <c r="F66" s="22"/>
      <c r="G66" s="22"/>
      <c r="H66" s="22"/>
      <c r="I66" s="26"/>
    </row>
    <row r="67" spans="2:9">
      <c r="B67" s="21"/>
      <c r="C67" s="22" t="s">
        <v>74</v>
      </c>
      <c r="D67" s="22"/>
      <c r="E67" s="23">
        <v>387</v>
      </c>
      <c r="F67" s="22"/>
      <c r="G67" s="22"/>
      <c r="H67" s="22"/>
      <c r="I67" s="26"/>
    </row>
    <row r="68" spans="2:9">
      <c r="B68" s="21"/>
      <c r="C68" s="22" t="s">
        <v>75</v>
      </c>
      <c r="D68" s="22"/>
      <c r="E68" s="23">
        <v>321905.52398</v>
      </c>
      <c r="F68" s="22"/>
      <c r="G68" s="22"/>
      <c r="H68" s="22"/>
      <c r="I68" s="26"/>
    </row>
    <row r="69" spans="2:9">
      <c r="B69" s="21"/>
      <c r="C69" s="22" t="s">
        <v>76</v>
      </c>
      <c r="D69" s="22"/>
      <c r="E69" s="23">
        <v>92500</v>
      </c>
      <c r="F69" s="22"/>
      <c r="G69" s="22"/>
      <c r="H69" s="22"/>
      <c r="I69" s="26"/>
    </row>
    <row r="70" spans="2:9">
      <c r="B70" s="21"/>
      <c r="C70" s="22" t="s">
        <v>76</v>
      </c>
      <c r="D70" s="22"/>
      <c r="E70" s="23">
        <v>19640</v>
      </c>
      <c r="F70" s="22"/>
      <c r="G70" s="22"/>
      <c r="H70" s="22"/>
      <c r="I70" s="26"/>
    </row>
    <row r="71" spans="2:9">
      <c r="B71" s="21"/>
      <c r="C71" s="22" t="s">
        <v>76</v>
      </c>
      <c r="D71" s="22"/>
      <c r="E71" s="23">
        <v>3</v>
      </c>
      <c r="F71" s="22"/>
      <c r="G71" s="22"/>
      <c r="H71" s="22"/>
      <c r="I71" s="26"/>
    </row>
    <row r="72" spans="2:9">
      <c r="B72" s="21"/>
      <c r="C72" s="22" t="s">
        <v>76</v>
      </c>
      <c r="D72" s="22"/>
      <c r="E72" s="23">
        <v>395932</v>
      </c>
      <c r="F72" s="22"/>
      <c r="G72" s="22"/>
      <c r="H72" s="22"/>
      <c r="I72" s="26"/>
    </row>
    <row r="73" spans="2:9">
      <c r="B73" s="21"/>
      <c r="C73" s="22" t="s">
        <v>77</v>
      </c>
      <c r="D73" s="22"/>
      <c r="E73" s="23">
        <v>1</v>
      </c>
      <c r="F73" s="22"/>
      <c r="G73" s="22"/>
      <c r="H73" s="22"/>
      <c r="I73" s="26"/>
    </row>
    <row r="74" spans="2:9">
      <c r="B74" s="21"/>
      <c r="C74" s="22" t="s">
        <v>78</v>
      </c>
      <c r="D74" s="22"/>
      <c r="E74" s="23">
        <v>70</v>
      </c>
      <c r="F74" s="22"/>
      <c r="G74" s="22"/>
      <c r="H74" s="22"/>
      <c r="I74" s="26"/>
    </row>
    <row r="75" spans="2:9">
      <c r="B75" s="21" t="s">
        <v>79</v>
      </c>
      <c r="C75" s="22"/>
      <c r="D75" s="22"/>
      <c r="E75" s="23"/>
      <c r="F75" s="22"/>
      <c r="G75" s="22"/>
      <c r="H75" s="22"/>
      <c r="I75" s="26"/>
    </row>
    <row r="76" spans="2:9">
      <c r="B76" s="21" t="s">
        <v>80</v>
      </c>
      <c r="C76" s="22"/>
      <c r="D76" s="22"/>
      <c r="E76" s="23"/>
      <c r="F76" s="22"/>
      <c r="G76" s="22"/>
      <c r="H76" s="22"/>
      <c r="I76" s="26"/>
    </row>
    <row r="77" spans="2:9">
      <c r="B77" s="21" t="s">
        <v>81</v>
      </c>
      <c r="C77" s="22"/>
      <c r="D77" s="22"/>
      <c r="E77" s="23"/>
      <c r="F77" s="22"/>
      <c r="G77" s="22"/>
      <c r="H77" s="22"/>
      <c r="I77" s="26"/>
    </row>
    <row r="78" spans="2:9">
      <c r="B78" s="21" t="s">
        <v>82</v>
      </c>
      <c r="C78" s="22" t="s">
        <v>83</v>
      </c>
      <c r="D78" s="22"/>
      <c r="E78" s="23">
        <v>0</v>
      </c>
      <c r="F78" s="22"/>
      <c r="G78" s="22"/>
      <c r="H78" s="22"/>
      <c r="I78" s="26"/>
    </row>
    <row r="79" spans="2:9">
      <c r="B79" s="21"/>
      <c r="C79" s="22" t="s">
        <v>84</v>
      </c>
      <c r="D79" s="22"/>
      <c r="E79" s="23">
        <v>0</v>
      </c>
      <c r="F79" s="22"/>
      <c r="G79" s="22"/>
      <c r="H79" s="22"/>
      <c r="I79" s="26"/>
    </row>
    <row r="80" spans="2:9">
      <c r="B80" s="21"/>
      <c r="C80" s="22" t="s">
        <v>85</v>
      </c>
      <c r="D80" s="22"/>
      <c r="E80" s="23">
        <v>0</v>
      </c>
      <c r="F80" s="22"/>
      <c r="G80" s="22"/>
      <c r="H80" s="22"/>
      <c r="I80" s="26"/>
    </row>
    <row r="81" spans="2:9">
      <c r="B81" s="21"/>
      <c r="C81" s="22" t="s">
        <v>86</v>
      </c>
      <c r="D81" s="22"/>
      <c r="E81" s="23">
        <v>0</v>
      </c>
      <c r="F81" s="22"/>
      <c r="G81" s="22"/>
      <c r="H81" s="22"/>
      <c r="I81" s="26"/>
    </row>
    <row r="82" spans="2:9">
      <c r="B82" s="21"/>
      <c r="C82" s="22" t="s">
        <v>87</v>
      </c>
      <c r="D82" s="22"/>
      <c r="E82" s="23">
        <v>0</v>
      </c>
      <c r="F82" s="22"/>
      <c r="G82" s="22"/>
      <c r="H82" s="22"/>
      <c r="I82" s="26"/>
    </row>
    <row r="83" spans="2:9">
      <c r="B83" s="21"/>
      <c r="C83" s="22" t="s">
        <v>87</v>
      </c>
      <c r="D83" s="22"/>
      <c r="E83" s="23">
        <v>0</v>
      </c>
      <c r="F83" s="22"/>
      <c r="G83" s="22"/>
      <c r="H83" s="22"/>
      <c r="I83" s="26"/>
    </row>
    <row r="84" spans="2:9">
      <c r="B84" s="21" t="s">
        <v>88</v>
      </c>
      <c r="C84" s="22" t="s">
        <v>89</v>
      </c>
      <c r="D84" s="22"/>
      <c r="E84" s="23">
        <v>5601747</v>
      </c>
      <c r="F84" s="22"/>
      <c r="G84" s="22"/>
      <c r="H84" s="22"/>
      <c r="I84" s="26"/>
    </row>
    <row r="85" spans="2:9">
      <c r="B85" s="21"/>
      <c r="C85" s="22" t="s">
        <v>90</v>
      </c>
      <c r="D85" s="22"/>
      <c r="E85" s="23">
        <v>3150000</v>
      </c>
      <c r="F85" s="22"/>
      <c r="G85" s="22"/>
      <c r="H85" s="22"/>
      <c r="I85" s="26"/>
    </row>
    <row r="86" spans="2:9">
      <c r="B86" s="27" t="s">
        <v>92</v>
      </c>
      <c r="C86" s="27"/>
      <c r="D86" s="27"/>
      <c r="E86" s="28">
        <f>SUM(E30:E85)</f>
        <v>0</v>
      </c>
      <c r="F86" s="29" t="s">
        <v>93</v>
      </c>
      <c r="G86" s="29"/>
      <c r="H86" s="29"/>
      <c r="I86" s="30">
        <f>SUM(I30:I85)</f>
        <v>0</v>
      </c>
    </row>
    <row r="87" spans="2:9">
      <c r="B87" s="31" t="s">
        <v>94</v>
      </c>
      <c r="C87" s="31"/>
      <c r="D87" s="31"/>
      <c r="E87" s="31"/>
      <c r="F87" s="31"/>
      <c r="G87" s="31"/>
      <c r="H87" s="31"/>
      <c r="I87" s="31"/>
    </row>
    <row r="88" spans="2:9">
      <c r="B88" s="32">
        <f>E86-I86</f>
        <v>0</v>
      </c>
      <c r="C88" s="32"/>
      <c r="D88" s="32"/>
      <c r="E88" s="32"/>
      <c r="F88" s="32"/>
      <c r="G88" s="32"/>
      <c r="H88" s="32"/>
      <c r="I88" s="32"/>
    </row>
    <row r="91" spans="2:9">
      <c r="B91" s="1" t="s">
        <v>95</v>
      </c>
    </row>
    <row r="92" spans="2:9">
      <c r="B92" t="s">
        <v>96</v>
      </c>
    </row>
    <row r="93" spans="2:9">
      <c r="B93" s="33" t="s">
        <v>97</v>
      </c>
      <c r="C93" s="34" t="s">
        <v>98</v>
      </c>
      <c r="D93" s="34"/>
      <c r="E93" s="34" t="s">
        <v>99</v>
      </c>
      <c r="F93" s="34" t="s">
        <v>100</v>
      </c>
      <c r="G93" s="34" t="s">
        <v>101</v>
      </c>
      <c r="H93" s="34" t="s">
        <v>102</v>
      </c>
    </row>
    <row r="94" spans="2:9">
      <c r="B94" s="35" t="s">
        <v>103</v>
      </c>
      <c r="C94" s="36" t="s">
        <v>83</v>
      </c>
      <c r="D94" s="36"/>
      <c r="E94" s="37" t="s">
        <v>104</v>
      </c>
      <c r="F94" s="38">
        <v>0</v>
      </c>
      <c r="G94" s="39">
        <v>43560</v>
      </c>
      <c r="H94" s="39">
        <v>49039</v>
      </c>
    </row>
    <row r="95" spans="2:9">
      <c r="B95" s="35" t="s">
        <v>103</v>
      </c>
      <c r="C95" s="36" t="s">
        <v>84</v>
      </c>
      <c r="D95" s="36"/>
      <c r="E95" s="37" t="s">
        <v>104</v>
      </c>
      <c r="F95" s="38">
        <v>0</v>
      </c>
      <c r="G95" s="39">
        <v>43585</v>
      </c>
      <c r="H95" s="39">
        <v>70979</v>
      </c>
    </row>
    <row r="96" spans="2:9">
      <c r="B96" s="35" t="s">
        <v>105</v>
      </c>
      <c r="C96" s="36" t="s">
        <v>85</v>
      </c>
      <c r="D96" s="36"/>
      <c r="E96" s="37" t="s">
        <v>104</v>
      </c>
      <c r="F96" s="38">
        <v>0</v>
      </c>
      <c r="G96" s="39">
        <v>45617</v>
      </c>
      <c r="H96" s="39">
        <v>71184</v>
      </c>
    </row>
    <row r="97" spans="2:10">
      <c r="B97" s="35" t="s">
        <v>103</v>
      </c>
      <c r="C97" s="36" t="s">
        <v>86</v>
      </c>
      <c r="D97" s="36"/>
      <c r="E97" s="37" t="s">
        <v>104</v>
      </c>
      <c r="F97" s="38">
        <v>0</v>
      </c>
      <c r="G97" s="39">
        <v>43511</v>
      </c>
      <c r="H97" s="39">
        <v>50816</v>
      </c>
    </row>
    <row r="98" spans="2:10">
      <c r="B98" s="35" t="s">
        <v>103</v>
      </c>
      <c r="C98" s="36" t="s">
        <v>87</v>
      </c>
      <c r="D98" s="36"/>
      <c r="E98" s="37" t="s">
        <v>104</v>
      </c>
      <c r="F98" s="38">
        <v>0</v>
      </c>
      <c r="G98" s="39">
        <v>43514</v>
      </c>
      <c r="H98" s="39">
        <v>48993</v>
      </c>
    </row>
    <row r="99" spans="2:10">
      <c r="B99" s="35" t="s">
        <v>103</v>
      </c>
      <c r="C99" s="36" t="s">
        <v>87</v>
      </c>
      <c r="D99" s="36"/>
      <c r="E99" s="37" t="s">
        <v>104</v>
      </c>
      <c r="F99" s="38">
        <v>0</v>
      </c>
      <c r="G99" s="39">
        <v>43517</v>
      </c>
      <c r="H99" s="39">
        <v>48996</v>
      </c>
    </row>
    <row r="100" spans="2:10">
      <c r="B100" s="40" t="s">
        <v>13</v>
      </c>
      <c r="C100" s="41" t="s">
        <v>106</v>
      </c>
      <c r="D100" s="41"/>
      <c r="E100" s="41" t="s">
        <v>107</v>
      </c>
      <c r="F100" s="41" t="s">
        <v>108</v>
      </c>
      <c r="G100" s="41"/>
      <c r="H100" s="42"/>
    </row>
    <row r="101" spans="2:10">
      <c r="B101" s="40"/>
      <c r="C101" s="43" t="s">
        <v>109</v>
      </c>
      <c r="D101" s="43"/>
      <c r="E101" s="43" t="s">
        <v>110</v>
      </c>
      <c r="F101" s="44">
        <f>SUM(F94:F99)</f>
        <v>0</v>
      </c>
      <c r="G101" s="43"/>
      <c r="H101" s="45"/>
    </row>
    <row r="103" spans="2:10">
      <c r="B103" s="1" t="s">
        <v>111</v>
      </c>
    </row>
    <row r="104" spans="2:10">
      <c r="B104" t="s">
        <v>112</v>
      </c>
    </row>
    <row r="105" spans="2:10">
      <c r="B105" s="33" t="s">
        <v>113</v>
      </c>
      <c r="C105" s="34" t="s">
        <v>97</v>
      </c>
      <c r="D105" s="34" t="s">
        <v>31</v>
      </c>
      <c r="E105" s="34"/>
      <c r="F105" s="34" t="s">
        <v>114</v>
      </c>
      <c r="G105" s="34" t="s">
        <v>115</v>
      </c>
      <c r="H105" s="34" t="s">
        <v>116</v>
      </c>
      <c r="I105" s="34" t="s">
        <v>117</v>
      </c>
      <c r="J105" s="34" t="s">
        <v>102</v>
      </c>
    </row>
    <row r="106" spans="2:10">
      <c r="B106" s="35" t="s">
        <v>118</v>
      </c>
      <c r="C106" s="36" t="s">
        <v>119</v>
      </c>
      <c r="D106" s="36" t="s">
        <v>62</v>
      </c>
      <c r="E106" s="36"/>
      <c r="F106" s="38">
        <v>247299</v>
      </c>
      <c r="G106" s="38">
        <v>246000</v>
      </c>
      <c r="H106" s="46">
        <v>-0.5252750718765543</v>
      </c>
      <c r="I106" s="39"/>
      <c r="J106" s="39"/>
    </row>
    <row r="107" spans="2:10">
      <c r="B107" s="35" t="s">
        <v>118</v>
      </c>
      <c r="C107" s="36" t="s">
        <v>119</v>
      </c>
      <c r="D107" s="36" t="s">
        <v>63</v>
      </c>
      <c r="E107" s="36"/>
      <c r="F107" s="38">
        <v>3640</v>
      </c>
      <c r="G107" s="38">
        <v>3560</v>
      </c>
      <c r="H107" s="46">
        <v>-2.197802197802198</v>
      </c>
      <c r="I107" s="39"/>
      <c r="J107" s="39"/>
    </row>
    <row r="108" spans="2:10">
      <c r="B108" s="35" t="s">
        <v>118</v>
      </c>
      <c r="C108" s="36" t="s">
        <v>120</v>
      </c>
      <c r="D108" s="36" t="s">
        <v>64</v>
      </c>
      <c r="E108" s="36"/>
      <c r="F108" s="38">
        <v>1189611</v>
      </c>
      <c r="G108" s="38">
        <v>1573764</v>
      </c>
      <c r="H108" s="46">
        <v>32.29232076704066</v>
      </c>
      <c r="I108" s="39"/>
      <c r="J108" s="39"/>
    </row>
    <row r="109" spans="2:10">
      <c r="B109" s="35" t="s">
        <v>118</v>
      </c>
      <c r="C109" s="36" t="s">
        <v>120</v>
      </c>
      <c r="D109" s="36" t="s">
        <v>65</v>
      </c>
      <c r="E109" s="36"/>
      <c r="F109" s="38">
        <v>1244139</v>
      </c>
      <c r="G109" s="38">
        <v>1417900</v>
      </c>
      <c r="H109" s="46">
        <v>13.96636549453076</v>
      </c>
      <c r="I109" s="39"/>
      <c r="J109" s="39"/>
    </row>
    <row r="110" spans="2:10">
      <c r="B110" s="35" t="s">
        <v>118</v>
      </c>
      <c r="C110" s="36" t="s">
        <v>120</v>
      </c>
      <c r="D110" s="36" t="s">
        <v>66</v>
      </c>
      <c r="E110" s="36"/>
      <c r="F110" s="38">
        <v>1355824</v>
      </c>
      <c r="G110" s="38">
        <v>1288845</v>
      </c>
      <c r="H110" s="46">
        <v>-4.940095469618475</v>
      </c>
      <c r="I110" s="39"/>
      <c r="J110" s="39"/>
    </row>
    <row r="111" spans="2:10">
      <c r="B111" s="35" t="s">
        <v>118</v>
      </c>
      <c r="C111" s="36" t="s">
        <v>120</v>
      </c>
      <c r="D111" s="36" t="s">
        <v>67</v>
      </c>
      <c r="E111" s="36"/>
      <c r="F111" s="38">
        <v>192590</v>
      </c>
      <c r="G111" s="38">
        <v>113091</v>
      </c>
      <c r="H111" s="46">
        <v>-41.2788826003427</v>
      </c>
      <c r="I111" s="39"/>
      <c r="J111" s="39"/>
    </row>
    <row r="112" spans="2:10">
      <c r="B112" s="35" t="s">
        <v>118</v>
      </c>
      <c r="C112" s="36" t="s">
        <v>121</v>
      </c>
      <c r="D112" s="36" t="s">
        <v>68</v>
      </c>
      <c r="E112" s="36"/>
      <c r="F112" s="38">
        <v>83000</v>
      </c>
      <c r="G112" s="38">
        <v>53900</v>
      </c>
      <c r="H112" s="46">
        <v>-35.06024096385542</v>
      </c>
      <c r="I112" s="39"/>
      <c r="J112" s="39"/>
    </row>
    <row r="113" spans="2:10">
      <c r="B113" s="35" t="s">
        <v>118</v>
      </c>
      <c r="C113" s="36" t="s">
        <v>122</v>
      </c>
      <c r="D113" s="36" t="s">
        <v>69</v>
      </c>
      <c r="E113" s="36"/>
      <c r="F113" s="38">
        <v>1380</v>
      </c>
      <c r="G113" s="38">
        <v>1382</v>
      </c>
      <c r="H113" s="46">
        <v>0.1449275362318841</v>
      </c>
      <c r="I113" s="39"/>
      <c r="J113" s="39"/>
    </row>
    <row r="114" spans="2:10">
      <c r="B114" s="47" t="s">
        <v>13</v>
      </c>
      <c r="C114" s="41"/>
      <c r="D114" s="41" t="s">
        <v>123</v>
      </c>
      <c r="E114" s="41"/>
      <c r="F114" s="41" t="s">
        <v>124</v>
      </c>
      <c r="G114" s="41" t="s">
        <v>125</v>
      </c>
      <c r="H114" s="41" t="s">
        <v>126</v>
      </c>
      <c r="I114" s="41"/>
      <c r="J114" s="42"/>
    </row>
    <row r="115" spans="2:10">
      <c r="B115" s="47"/>
      <c r="C115" s="43"/>
      <c r="D115" s="43" t="s">
        <v>127</v>
      </c>
      <c r="E115" s="43"/>
      <c r="F115" s="44">
        <f>SUM(F106:F113)</f>
        <v>0</v>
      </c>
      <c r="G115" s="44">
        <f>SUM(G106:G113)</f>
        <v>0</v>
      </c>
      <c r="H115" s="48">
        <f>(SUM(G106:G113) - SUM(F106:F113)) * 100 / IF(SUM(F106:F113), SUM(F106:F113), 1)</f>
        <v>0</v>
      </c>
      <c r="I115" s="43"/>
      <c r="J115" s="45"/>
    </row>
    <row r="117" spans="2:10">
      <c r="B117" s="1" t="s">
        <v>128</v>
      </c>
    </row>
    <row r="118" spans="2:10">
      <c r="B118" t="s">
        <v>129</v>
      </c>
    </row>
    <row r="119" spans="2:10">
      <c r="B119" s="49" t="s">
        <v>130</v>
      </c>
      <c r="C119" s="50" t="s">
        <v>97</v>
      </c>
      <c r="D119" s="50" t="s">
        <v>31</v>
      </c>
      <c r="E119" s="50"/>
      <c r="F119" s="50" t="s">
        <v>131</v>
      </c>
      <c r="G119" s="50" t="s">
        <v>132</v>
      </c>
      <c r="H119" s="50" t="s">
        <v>133</v>
      </c>
      <c r="I119" s="50" t="s">
        <v>134</v>
      </c>
      <c r="J119" s="50" t="s">
        <v>135</v>
      </c>
    </row>
    <row r="120" spans="2:10">
      <c r="B120" s="35"/>
      <c r="C120" s="36"/>
      <c r="D120" s="36"/>
      <c r="E120" s="36"/>
      <c r="F120" s="36"/>
      <c r="G120" s="36"/>
      <c r="H120" s="36"/>
      <c r="I120" s="36"/>
      <c r="J120" s="36"/>
    </row>
    <row r="121" spans="2:10">
      <c r="B121" s="47" t="s">
        <v>13</v>
      </c>
      <c r="C121" s="41"/>
      <c r="D121" s="41" t="s">
        <v>136</v>
      </c>
      <c r="E121" s="41"/>
      <c r="F121" s="41" t="s">
        <v>137</v>
      </c>
      <c r="G121" s="41" t="s">
        <v>138</v>
      </c>
      <c r="H121" s="41"/>
      <c r="I121" s="41"/>
      <c r="J121" s="42"/>
    </row>
    <row r="122" spans="2:10">
      <c r="B122" s="47"/>
      <c r="C122" s="43"/>
      <c r="D122" s="44">
        <f>SUM(0)</f>
        <v>0</v>
      </c>
      <c r="E122" s="44"/>
      <c r="F122" s="44">
        <f>SUM(F120)</f>
        <v>0</v>
      </c>
      <c r="G122" s="44">
        <f>SUM(G120)</f>
        <v>0</v>
      </c>
      <c r="H122" s="43"/>
      <c r="I122" s="43"/>
      <c r="J122" s="45"/>
    </row>
  </sheetData>
  <mergeCells count="154">
    <mergeCell ref="F5:G5"/>
    <mergeCell ref="F6:G6"/>
    <mergeCell ref="B28:E28"/>
    <mergeCell ref="F28:I28"/>
    <mergeCell ref="C29:D29"/>
    <mergeCell ref="G29:H29"/>
    <mergeCell ref="B30:B48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B52:B53"/>
    <mergeCell ref="C52:D52"/>
    <mergeCell ref="C53:D53"/>
    <mergeCell ref="B54:B74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B78:B83"/>
    <mergeCell ref="C78:D78"/>
    <mergeCell ref="C79:D79"/>
    <mergeCell ref="C80:D80"/>
    <mergeCell ref="C81:D81"/>
    <mergeCell ref="C82:D82"/>
    <mergeCell ref="C83:D83"/>
    <mergeCell ref="B84:B85"/>
    <mergeCell ref="C84:D84"/>
    <mergeCell ref="C85:D85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B86:D86"/>
    <mergeCell ref="F86:H86"/>
    <mergeCell ref="B87:I87"/>
    <mergeCell ref="B88:I88"/>
    <mergeCell ref="C93:D93"/>
    <mergeCell ref="C94:D94"/>
    <mergeCell ref="C95:D95"/>
    <mergeCell ref="C96:D96"/>
    <mergeCell ref="C97:D97"/>
    <mergeCell ref="C98:D98"/>
    <mergeCell ref="C99:D99"/>
    <mergeCell ref="B100:B101"/>
    <mergeCell ref="C100:D100"/>
    <mergeCell ref="C101:D101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B114:B115"/>
    <mergeCell ref="D114:E114"/>
    <mergeCell ref="D115:E115"/>
    <mergeCell ref="D119:E119"/>
    <mergeCell ref="D120:E120"/>
    <mergeCell ref="B121:B122"/>
    <mergeCell ref="D121:E121"/>
    <mergeCell ref="D122:E1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139</v>
      </c>
      <c r="B1" s="51" t="s">
        <v>140</v>
      </c>
      <c r="C1" s="51" t="s">
        <v>141</v>
      </c>
      <c r="D1" s="51" t="s">
        <v>142</v>
      </c>
      <c r="E1" s="51" t="s">
        <v>143</v>
      </c>
      <c r="F1" s="51" t="s">
        <v>144</v>
      </c>
      <c r="G1" s="51" t="s">
        <v>32</v>
      </c>
      <c r="H1" s="51" t="s">
        <v>145</v>
      </c>
      <c r="I1" s="51" t="s">
        <v>146</v>
      </c>
      <c r="J1" s="51" t="s">
        <v>147</v>
      </c>
    </row>
    <row r="2" spans="1:10">
      <c r="A2" s="52">
        <v>46301</v>
      </c>
      <c r="B2" s="53">
        <v>0.7856828703703703</v>
      </c>
      <c r="C2" t="s">
        <v>148</v>
      </c>
      <c r="D2" t="s">
        <v>19</v>
      </c>
      <c r="E2" t="s">
        <v>24</v>
      </c>
      <c r="F2" t="s">
        <v>149</v>
      </c>
      <c r="G2">
        <v>-138000</v>
      </c>
      <c r="H2" t="s">
        <v>150</v>
      </c>
      <c r="I2" t="s">
        <v>151</v>
      </c>
    </row>
    <row r="3" spans="1:10">
      <c r="A3" s="52">
        <v>46300</v>
      </c>
      <c r="B3" s="53">
        <v>0.05537037037037037</v>
      </c>
      <c r="C3" t="s">
        <v>148</v>
      </c>
      <c r="D3" t="s">
        <v>20</v>
      </c>
      <c r="E3" t="s">
        <v>152</v>
      </c>
      <c r="F3" t="s">
        <v>153</v>
      </c>
      <c r="G3">
        <v>-39740</v>
      </c>
      <c r="H3" t="s">
        <v>150</v>
      </c>
      <c r="I3" t="s">
        <v>154</v>
      </c>
    </row>
    <row r="4" spans="1:10">
      <c r="A4" s="52">
        <v>46299</v>
      </c>
      <c r="B4" s="53">
        <v>0.8544212962962963</v>
      </c>
      <c r="C4" t="s">
        <v>148</v>
      </c>
      <c r="D4" t="s">
        <v>21</v>
      </c>
      <c r="E4" t="s">
        <v>155</v>
      </c>
      <c r="F4" t="s">
        <v>156</v>
      </c>
      <c r="G4">
        <v>-25000</v>
      </c>
      <c r="H4" t="s">
        <v>150</v>
      </c>
      <c r="I4" t="s">
        <v>157</v>
      </c>
    </row>
    <row r="5" spans="1:10">
      <c r="A5" s="52">
        <v>46299</v>
      </c>
      <c r="B5" s="53">
        <v>0.8024074074074075</v>
      </c>
      <c r="C5" t="s">
        <v>148</v>
      </c>
      <c r="D5" t="s">
        <v>24</v>
      </c>
      <c r="E5" t="s">
        <v>24</v>
      </c>
      <c r="F5" t="s">
        <v>158</v>
      </c>
      <c r="G5">
        <v>-107500</v>
      </c>
      <c r="H5" t="s">
        <v>150</v>
      </c>
      <c r="I5" t="s">
        <v>154</v>
      </c>
    </row>
    <row r="6" spans="1:10">
      <c r="A6" s="52">
        <v>46299</v>
      </c>
      <c r="B6" s="53">
        <v>0.8021412037037037</v>
      </c>
      <c r="C6" t="s">
        <v>148</v>
      </c>
      <c r="D6" t="s">
        <v>24</v>
      </c>
      <c r="E6" t="s">
        <v>24</v>
      </c>
      <c r="F6" t="s">
        <v>159</v>
      </c>
      <c r="G6">
        <v>-8000</v>
      </c>
      <c r="H6" t="s">
        <v>150</v>
      </c>
      <c r="I6" t="s">
        <v>157</v>
      </c>
    </row>
    <row r="7" spans="1:10">
      <c r="A7" s="52">
        <v>46299</v>
      </c>
      <c r="B7" s="53">
        <v>0.7753703703703704</v>
      </c>
      <c r="C7" t="s">
        <v>148</v>
      </c>
      <c r="D7" t="s">
        <v>17</v>
      </c>
      <c r="E7" t="s">
        <v>160</v>
      </c>
      <c r="F7" t="s">
        <v>161</v>
      </c>
      <c r="G7">
        <v>-3300</v>
      </c>
      <c r="H7" t="s">
        <v>150</v>
      </c>
      <c r="I7" t="s">
        <v>157</v>
      </c>
    </row>
    <row r="8" spans="1:10">
      <c r="A8" s="52">
        <v>46298</v>
      </c>
      <c r="B8" s="53">
        <v>0.769074074074074</v>
      </c>
      <c r="C8" t="s">
        <v>148</v>
      </c>
      <c r="D8" t="s">
        <v>23</v>
      </c>
      <c r="E8" t="s">
        <v>162</v>
      </c>
      <c r="F8" t="s">
        <v>163</v>
      </c>
      <c r="G8">
        <v>-96078</v>
      </c>
      <c r="H8" t="s">
        <v>150</v>
      </c>
      <c r="I8" t="s">
        <v>157</v>
      </c>
    </row>
    <row r="9" spans="1:10">
      <c r="A9" s="52">
        <v>46298</v>
      </c>
      <c r="B9" s="53">
        <v>0.7110185185185185</v>
      </c>
      <c r="C9" t="s">
        <v>148</v>
      </c>
      <c r="D9" t="s">
        <v>23</v>
      </c>
      <c r="E9" t="s">
        <v>162</v>
      </c>
      <c r="F9" t="s">
        <v>164</v>
      </c>
      <c r="G9">
        <v>-26000</v>
      </c>
      <c r="H9" t="s">
        <v>150</v>
      </c>
      <c r="I9" t="s">
        <v>157</v>
      </c>
    </row>
    <row r="10" spans="1:10">
      <c r="A10" s="52">
        <v>46298</v>
      </c>
      <c r="B10" s="53">
        <v>0.6716782407407408</v>
      </c>
      <c r="C10" t="s">
        <v>148</v>
      </c>
      <c r="D10" t="s">
        <v>23</v>
      </c>
      <c r="E10" t="s">
        <v>165</v>
      </c>
      <c r="F10" t="s">
        <v>166</v>
      </c>
      <c r="G10">
        <v>-4000</v>
      </c>
      <c r="H10" t="s">
        <v>150</v>
      </c>
      <c r="I10" t="s">
        <v>157</v>
      </c>
    </row>
    <row r="11" spans="1:10">
      <c r="A11" s="52">
        <v>46298</v>
      </c>
      <c r="B11" s="53">
        <v>0.0233912037037037</v>
      </c>
      <c r="C11" t="s">
        <v>148</v>
      </c>
      <c r="D11" t="s">
        <v>20</v>
      </c>
      <c r="E11" t="s">
        <v>152</v>
      </c>
      <c r="F11" t="s">
        <v>167</v>
      </c>
      <c r="G11">
        <v>-44456</v>
      </c>
      <c r="H11" t="s">
        <v>150</v>
      </c>
      <c r="I11" t="s">
        <v>154</v>
      </c>
    </row>
    <row r="12" spans="1:10">
      <c r="A12" s="52">
        <v>46297</v>
      </c>
      <c r="B12" s="53">
        <v>0.8226967592592592</v>
      </c>
      <c r="C12" t="s">
        <v>148</v>
      </c>
      <c r="D12" t="s">
        <v>22</v>
      </c>
      <c r="E12" t="s">
        <v>24</v>
      </c>
      <c r="F12" t="s">
        <v>168</v>
      </c>
      <c r="G12">
        <v>-20400</v>
      </c>
      <c r="H12" t="s">
        <v>150</v>
      </c>
      <c r="I12" t="s">
        <v>157</v>
      </c>
    </row>
    <row r="13" spans="1:10">
      <c r="A13" s="52">
        <v>46297</v>
      </c>
      <c r="B13" s="53">
        <v>0.8151157407407408</v>
      </c>
      <c r="C13" t="s">
        <v>148</v>
      </c>
      <c r="D13" t="s">
        <v>18</v>
      </c>
      <c r="E13" t="s">
        <v>24</v>
      </c>
      <c r="F13" t="s">
        <v>169</v>
      </c>
      <c r="G13">
        <v>-85000</v>
      </c>
      <c r="H13" t="s">
        <v>150</v>
      </c>
      <c r="I13" t="s">
        <v>157</v>
      </c>
    </row>
    <row r="14" spans="1:10">
      <c r="A14" s="52">
        <v>46297</v>
      </c>
      <c r="B14" s="53">
        <v>0.7496527777777777</v>
      </c>
      <c r="C14" t="s">
        <v>148</v>
      </c>
      <c r="D14" t="s">
        <v>20</v>
      </c>
      <c r="E14" t="s">
        <v>152</v>
      </c>
      <c r="F14" t="s">
        <v>170</v>
      </c>
      <c r="G14">
        <v>-8900</v>
      </c>
      <c r="H14" t="s">
        <v>150</v>
      </c>
      <c r="I14" t="s">
        <v>171</v>
      </c>
    </row>
    <row r="15" spans="1:10">
      <c r="A15" s="52">
        <v>46297</v>
      </c>
      <c r="B15" s="53">
        <v>0.6529282407407407</v>
      </c>
      <c r="C15" t="s">
        <v>148</v>
      </c>
      <c r="D15" t="s">
        <v>20</v>
      </c>
      <c r="E15" t="s">
        <v>152</v>
      </c>
      <c r="F15" t="s">
        <v>172</v>
      </c>
      <c r="G15">
        <v>-9900</v>
      </c>
      <c r="H15" t="s">
        <v>150</v>
      </c>
      <c r="I15" t="s">
        <v>171</v>
      </c>
    </row>
    <row r="16" spans="1:10">
      <c r="A16" s="52">
        <v>46297</v>
      </c>
      <c r="B16" s="53">
        <v>0.5620138888888889</v>
      </c>
      <c r="C16" t="s">
        <v>148</v>
      </c>
      <c r="D16" t="s">
        <v>20</v>
      </c>
      <c r="E16" t="s">
        <v>152</v>
      </c>
      <c r="F16" t="s">
        <v>173</v>
      </c>
      <c r="G16">
        <v>-120666</v>
      </c>
      <c r="H16" t="s">
        <v>150</v>
      </c>
      <c r="I16" t="s">
        <v>174</v>
      </c>
    </row>
    <row r="17" spans="1:9">
      <c r="A17" s="52">
        <v>46297</v>
      </c>
      <c r="B17" s="53">
        <v>0.514988425925926</v>
      </c>
      <c r="C17" t="s">
        <v>148</v>
      </c>
      <c r="D17" t="s">
        <v>18</v>
      </c>
      <c r="E17" t="s">
        <v>24</v>
      </c>
      <c r="F17" t="s">
        <v>175</v>
      </c>
      <c r="G17">
        <v>-12000</v>
      </c>
      <c r="H17" t="s">
        <v>150</v>
      </c>
      <c r="I17" t="s">
        <v>171</v>
      </c>
    </row>
    <row r="18" spans="1:9">
      <c r="A18" s="52">
        <v>46296</v>
      </c>
      <c r="B18" s="53">
        <v>0.7256365740740741</v>
      </c>
      <c r="C18" t="s">
        <v>148</v>
      </c>
      <c r="D18" t="s">
        <v>18</v>
      </c>
      <c r="E18" t="s">
        <v>24</v>
      </c>
      <c r="F18" t="s">
        <v>176</v>
      </c>
      <c r="G18">
        <v>-66000</v>
      </c>
      <c r="H18" t="s">
        <v>150</v>
      </c>
      <c r="I18" t="s">
        <v>177</v>
      </c>
    </row>
    <row r="19" spans="1:9">
      <c r="A19" s="52">
        <v>46296</v>
      </c>
      <c r="B19" s="53">
        <v>0.7177430555555555</v>
      </c>
      <c r="C19" t="s">
        <v>148</v>
      </c>
      <c r="D19" t="s">
        <v>18</v>
      </c>
      <c r="E19" t="s">
        <v>24</v>
      </c>
      <c r="F19" t="s">
        <v>176</v>
      </c>
      <c r="G19">
        <v>66000</v>
      </c>
      <c r="H19" t="s">
        <v>150</v>
      </c>
      <c r="I19" t="s">
        <v>177</v>
      </c>
    </row>
    <row r="20" spans="1:9">
      <c r="A20" s="52">
        <v>46296</v>
      </c>
      <c r="B20" s="53">
        <v>0.7109027777777778</v>
      </c>
      <c r="C20" t="s">
        <v>148</v>
      </c>
      <c r="D20" t="s">
        <v>18</v>
      </c>
      <c r="E20" t="s">
        <v>24</v>
      </c>
      <c r="F20" t="s">
        <v>176</v>
      </c>
      <c r="G20">
        <v>-66000</v>
      </c>
      <c r="H20" t="s">
        <v>150</v>
      </c>
      <c r="I20" t="s">
        <v>177</v>
      </c>
    </row>
    <row r="21" spans="1:9">
      <c r="A21" s="52">
        <v>46296</v>
      </c>
      <c r="B21" s="53">
        <v>0.626712962962963</v>
      </c>
      <c r="C21" t="s">
        <v>148</v>
      </c>
      <c r="D21" t="s">
        <v>20</v>
      </c>
      <c r="E21" t="s">
        <v>178</v>
      </c>
      <c r="F21" t="s">
        <v>179</v>
      </c>
      <c r="G21">
        <v>-5000</v>
      </c>
      <c r="H21" t="s">
        <v>150</v>
      </c>
      <c r="I21" t="s">
        <v>171</v>
      </c>
    </row>
    <row r="22" spans="1:9">
      <c r="A22" s="52">
        <v>46296</v>
      </c>
      <c r="B22" s="53">
        <v>0.4876388888888889</v>
      </c>
      <c r="C22" t="s">
        <v>148</v>
      </c>
      <c r="D22" t="s">
        <v>18</v>
      </c>
      <c r="E22" t="s">
        <v>24</v>
      </c>
      <c r="F22" t="s">
        <v>180</v>
      </c>
      <c r="G22">
        <v>-6000</v>
      </c>
      <c r="H22" t="s">
        <v>150</v>
      </c>
      <c r="I22" t="s">
        <v>171</v>
      </c>
    </row>
    <row r="23" spans="1:9">
      <c r="A23" s="52">
        <v>46296</v>
      </c>
      <c r="B23" s="53">
        <v>0.4087268518518519</v>
      </c>
      <c r="C23" t="s">
        <v>148</v>
      </c>
      <c r="D23" t="s">
        <v>20</v>
      </c>
      <c r="E23" t="s">
        <v>152</v>
      </c>
      <c r="F23" t="s">
        <v>167</v>
      </c>
      <c r="G23">
        <v>-2900</v>
      </c>
      <c r="H23" t="s">
        <v>150</v>
      </c>
      <c r="I2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2026-10-05T17:40:28Z</dcterms:created>
  <dcterms:modified xsi:type="dcterms:W3CDTF">2026-10-05T17:40:28Z</dcterms:modified>
</cp:coreProperties>
</file>