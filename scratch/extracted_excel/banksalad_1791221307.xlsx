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<sst xmlns="http://schemas.openxmlformats.org/spreadsheetml/2006/main" count="2034" uniqueCount="423">
  <si>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</si>
  <si>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</si>
  <si>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</si>
  <si>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</si>
  <si>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</si>
  <si>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</si>
  <si>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</si>
  <si>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</si>
  <si>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</si>
  <si>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</si>
  <si>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</si>
  <si>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</si>
  <si>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</si>
  <si>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</si>
  <si>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</si>
  <si>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</si>
  <si>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</si>
  <si>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</si>
  <si>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</si>
  <si>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</si>
  <si>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</si>
  <si>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</si>
  <si>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</si>
  <si>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</si>
  <si>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</si>
  <si>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</si>
  <si>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</si>
  <si>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</si>
  <si>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</si>
  <si>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</si>
  <si>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</si>
  <si>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</si>
  <si>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</si>
  <si>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</si>
  <si>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</si>
  <si>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</si>
  <si>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</si>
  <si>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</si>
  <si>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</si>
  <si>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</si>
  <si>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</si>
  <si>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</si>
  <si>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</si>
  <si>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</si>
  <si>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</si>
  <si>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</si>
  <si>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</si>
  <si>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</si>
  <si>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</si>
  <si>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</si>
  <si>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</si>
  <si>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</si>
  <si>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</si>
  <si>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</si>
  <si>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</si>
  <si>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</si>
  <si>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</si>
  <si>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</si>
  <si>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</si>
  <si>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</si>
  <si>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</si>
  <si>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</si>
  <si>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</si>
  <si>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</si>
  <si>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</si>
  <si>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</si>
  <si>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</si>
  <si>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</si>
  <si>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</si>
  <si>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</si>
  <si>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</si>
  <si>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</si>
  <si>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</si>
  <si>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</si>
  <si>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</si>
  <si>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</si>
  <si>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</si>
  <si>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</si>
  <si>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TIGER 코리아휴머노이드로봇산업</t>
  </si>
  <si>
    <t>대주전자재료</t>
  </si>
  <si>
    <t>국제약품</t>
  </si>
  <si>
    <t>TCC스틸</t>
  </si>
  <si>
    <t>칩스앤미디어</t>
  </si>
  <si>
    <t>디케이락</t>
  </si>
  <si>
    <t>한국정보통신</t>
  </si>
  <si>
    <t>대웅</t>
  </si>
  <si>
    <t>예스티</t>
  </si>
  <si>
    <t>피아이이</t>
  </si>
  <si>
    <t>모두투어</t>
  </si>
  <si>
    <t>에코프로비엠</t>
  </si>
  <si>
    <t>서연이화</t>
  </si>
  <si>
    <t>디어유</t>
  </si>
  <si>
    <t>SK오션플랜트</t>
  </si>
  <si>
    <t>NAVER</t>
  </si>
  <si>
    <t>티엠씨</t>
  </si>
  <si>
    <t>에스투더블유</t>
  </si>
  <si>
    <t>POSCO홀딩스</t>
  </si>
  <si>
    <t>애경산업</t>
  </si>
  <si>
    <t>삼천당제약</t>
  </si>
  <si>
    <t>폴라리스오피스</t>
  </si>
  <si>
    <t>QQQ 레버리지 3배 프로셰어즈 ETF</t>
  </si>
  <si>
    <t>토니모리</t>
  </si>
  <si>
    <t>유진투자증권</t>
  </si>
  <si>
    <t>SG</t>
  </si>
  <si>
    <t>LX세미콘</t>
  </si>
  <si>
    <t>현대무벡스</t>
  </si>
  <si>
    <t>JW중외제약</t>
  </si>
  <si>
    <t>필옵틱스</t>
  </si>
  <si>
    <t>SAMG엔터</t>
  </si>
  <si>
    <t>남선알미늄</t>
  </si>
  <si>
    <t>심텍</t>
  </si>
  <si>
    <t>우리기술</t>
  </si>
  <si>
    <t>KBI동양철관</t>
  </si>
  <si>
    <t>러셀</t>
  </si>
  <si>
    <t>지투파워</t>
  </si>
  <si>
    <t>나노신소재</t>
  </si>
  <si>
    <t>삼현</t>
  </si>
  <si>
    <t>SFA넥셀</t>
  </si>
  <si>
    <t>제일기획</t>
  </si>
  <si>
    <t>루시드 그룹</t>
  </si>
  <si>
    <t>테슬라</t>
  </si>
  <si>
    <t>TIGER 미국S&amp;P500</t>
  </si>
  <si>
    <t>TQQQ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</si>
  <si>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</si>
  <si>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</si>
  <si>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</si>
  <si>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</si>
  <si>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</si>
  <si>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</si>
  <si>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</si>
  <si>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</si>
  <si>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</si>
  <si>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</si>
  <si>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</si>
  <si>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</si>
  <si>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</si>
  <si>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</si>
  <si>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</si>
  <si>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</si>
  <si>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</si>
  <si>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</si>
  <si>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</si>
  <si>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</si>
  <si>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</si>
  <si>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</si>
  <si>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</si>
  <si>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</si>
  <si>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</si>
  <si>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</si>
  <si>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</si>
  <si>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</si>
  <si>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</si>
  <si>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</si>
  <si>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</si>
  <si>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</si>
  <si>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</si>
  <si>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</si>
  <si>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</si>
  <si>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</si>
  <si>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</si>
  <si>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</si>
  <si>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</si>
  <si>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</si>
  <si>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</si>
  <si>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</si>
  <si>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</si>
  <si>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</si>
  <si>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</si>
  <si>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</si>
  <si>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</si>
  <si>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</si>
  <si>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</si>
  <si>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</si>
  <si>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</si>
  <si>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</si>
  <si>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</si>
  <si>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</si>
  <si>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</si>
  <si>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</si>
  <si>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</si>
  <si>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</si>
  <si>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</si>
  <si>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</si>
  <si>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50개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</si>
  <si>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</si>
  <si>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</si>
  <si>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</si>
  <si>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</si>
  <si>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</si>
  <si>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</si>
  <si>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</si>
  <si>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</si>
  <si>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</si>
  <si>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</si>
  <si>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</si>
  <si>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</si>
  <si>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</si>
  <si>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</si>
  <si>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</si>
  <si>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</si>
  <si>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</si>
  <si>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</si>
  <si>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</si>
  <si>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</si>
  <si>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</si>
  <si>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미분류</t>
  </si>
  <si>
    <t>김*희</t>
  </si>
  <si>
    <t>KRW</t>
  </si>
  <si>
    <t>카카오페이 머니</t>
  </si>
  <si>
    <t>지출</t>
  </si>
  <si>
    <t>전시/관람</t>
  </si>
  <si>
    <t>주식회사 놀유니버스</t>
  </si>
  <si>
    <t>카카오페이 간편결제</t>
  </si>
  <si>
    <t>수입</t>
  </si>
  <si>
    <t>NH연회비환출</t>
  </si>
  <si>
    <t>서비스구독</t>
  </si>
  <si>
    <t>abcnet</t>
  </si>
  <si>
    <t>네이버페이 간편결제</t>
  </si>
  <si>
    <t>인터넷쇼핑</t>
  </si>
  <si>
    <t>넥스트유몰</t>
  </si>
  <si>
    <t>결제/충전</t>
  </si>
  <si>
    <t>업비트 자동 입금</t>
  </si>
  <si>
    <t>카드대금</t>
  </si>
  <si>
    <t>하나카드</t>
  </si>
  <si>
    <t>아이스크림/빙수</t>
  </si>
  <si>
    <t>달아달아 독립문점</t>
  </si>
  <si>
    <t>KT Plus 우리카드</t>
  </si>
  <si>
    <t>한식</t>
  </si>
  <si>
    <t>153구포국수 충무로점</t>
  </si>
  <si>
    <t>보험</t>
  </si>
  <si>
    <t>MG+ S 하나카드</t>
  </si>
  <si>
    <t>KB카드입금</t>
  </si>
  <si>
    <t>은행</t>
  </si>
  <si>
    <t>송금 내역</t>
  </si>
  <si>
    <t>적립 내역</t>
  </si>
  <si>
    <t>주식회사  페럼인프라</t>
  </si>
  <si>
    <t>신한은행 The More</t>
  </si>
  <si>
    <t>저축</t>
  </si>
  <si>
    <t>김동욱생활비</t>
  </si>
  <si>
    <t>KB카드출금</t>
  </si>
  <si>
    <t>김동욱 생활비</t>
  </si>
  <si>
    <t>내계좌이체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</si>
  <si>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</si>
  <si>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</si>
  <si>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</si>
  <si>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</si>
  <si>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</si>
  <si>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</si>
  <si>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</si>
  <si>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</si>
  <si>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</si>
  <si>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휴대폰</t>
  </si>
  <si>
    <t>KT통신요금납부</t>
  </si>
  <si>
    <t>카드</t>
  </si>
  <si>
    <t>우리카드결제대금</t>
  </si>
  <si>
    <t>진*림</t>
  </si>
  <si>
    <t>임*영</t>
  </si>
  <si>
    <t>배달</t>
  </si>
  <si>
    <t>요기요</t>
  </si>
  <si>
    <t>페이코 간편결제</t>
  </si>
  <si>
    <t>김동욱인터넷</t>
  </si>
  <si>
    <t>일식</t>
  </si>
  <si>
    <t>이아초밥 용산점</t>
  </si>
  <si>
    <t>대중교통</t>
  </si>
  <si>
    <t>신한체크교통</t>
  </si>
  <si>
    <t>중식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</si>
  <si>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</si>
  <si>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</si>
  <si>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</si>
  <si>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</si>
  <si>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</si>
  <si>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</si>
  <si>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</si>
  <si>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</si>
  <si>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</si>
  <si>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</si>
  <si>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</si>
  <si>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쿠팡(주)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</si>
  <si>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</si>
  <si>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</si>
  <si>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</si>
  <si>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</si>
  <si>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</si>
  <si>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</si>
  <si>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커피/음료</t>
  </si>
  <si>
    <t>(주) 카페크리스피</t>
  </si>
  <si>
    <t>하나카드 주식회사</t>
  </si>
  <si>
    <t>기후동행 따릉</t>
  </si>
  <si>
    <t>쿠팡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</si>
  <si>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</si>
  <si>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</si>
  <si>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</si>
  <si>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</si>
  <si>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</si>
  <si>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</si>
  <si>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</si>
  <si>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</si>
  <si>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</si>
  <si>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</si>
  <si>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</si>
  <si>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</si>
  <si>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네이버페이 간편결제(포인트)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</si>
  <si>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</si>
  <si>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</si>
  <si>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</si>
  <si>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</si>
  <si>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</si>
  <si>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</si>
  <si>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</si>
  <si>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</si>
  <si>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</si>
  <si>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</si>
  <si>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</si>
  <si>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편의점</t>
  </si>
  <si>
    <t>CU(페럼타워점)</t>
  </si>
  <si>
    <t>목욕</t>
  </si>
  <si>
    <t>테리파머</t>
  </si>
  <si>
    <t>인터넷상거래</t>
  </si>
  <si>
    <t>다드림 LOVE</t>
  </si>
  <si>
    <t>김동욱</t>
  </si>
  <si>
    <t>계원용돈</t>
  </si>
  <si>
    <t>기후동행환급</t>
  </si>
  <si>
    <t>뉴그리나여행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</si>
  <si>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</si>
  <si>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</si>
  <si>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</si>
  <si>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</si>
  <si>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</si>
  <si>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</si>
  <si>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</si>
  <si>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증권/투자</t>
  </si>
  <si>
    <t>한국주택금융공사</t>
  </si>
  <si>
    <t>식재료</t>
  </si>
  <si>
    <t>(주)현대이지웰</t>
  </si>
  <si>
    <t>통행료</t>
  </si>
  <si>
    <t>에스엠하이플러스 (주)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</si>
  <si>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</si>
  <si>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</si>
  <si>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</si>
  <si>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</si>
  <si>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</si>
  <si>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</si>
  <si>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</si>
  <si>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</si>
  <si>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</si>
  <si>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</si>
  <si>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</si>
  <si>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</si>
  <si>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</si>
  <si>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</si>
  <si>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</si>
  <si>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</si>
  <si>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</si>
  <si>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</si>
  <si>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영화</t>
  </si>
  <si>
    <t>KT 멤버십 영화예매</t>
  </si>
  <si>
    <t>(주)우아한형제들</t>
  </si>
  <si>
    <t>기타간식</t>
  </si>
  <si>
    <t>횡성(하)휴게소(강릉방향)</t>
  </si>
  <si>
    <t>입출금통장 이자</t>
  </si>
  <si>
    <t>정기이자 입금</t>
  </si>
  <si>
    <t>고푸다(GOPUDA)</t>
  </si>
  <si>
    <t>ALIEXPRESS COM</t>
  </si>
  <si>
    <t>종로반상회</t>
  </si>
  <si>
    <t>T 우주</t>
  </si>
  <si>
    <t>박*영</t>
  </si>
  <si>
    <t>패스트푸드</t>
  </si>
  <si>
    <t>맥도날드</t>
  </si>
  <si>
    <t>스타벅스_주문</t>
  </si>
  <si>
    <t>KB국민 톡톡 my point카드</t>
  </si>
  <si>
    <t>탄소중립실천</t>
  </si>
  <si>
    <t>지미존스 광화문점</t>
  </si>
  <si>
    <t>나이스_카드(마스터)</t>
  </si>
  <si>
    <t>프리미엄콘텐츠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</si>
  <si>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</si>
  <si>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</si>
  <si>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</si>
  <si>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</si>
  <si>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</si>
  <si>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090.김동욱차</t>
  </si>
  <si>
    <t>090.김동욱</t>
  </si>
  <si>
    <t>수협대출금</t>
  </si>
  <si>
    <t>007.수협대출금</t>
  </si>
  <si>
    <t>입금 내역</t>
  </si>
  <si>
    <t>090.생활비_계</t>
  </si>
  <si>
    <t>004.청년 주택</t>
  </si>
  <si>
    <t>생활비_계원</t>
  </si>
  <si>
    <t>케이뱅크30만원</t>
  </si>
  <si>
    <t>089.케이뱅크30</t>
  </si>
  <si>
    <t>김동욱irp</t>
  </si>
  <si>
    <t>성형외과</t>
  </si>
  <si>
    <t>포헤어의원</t>
  </si>
  <si>
    <t>아시아나 KB국민플래티늄카드</t>
  </si>
  <si>
    <t>이자/대출</t>
  </si>
  <si>
    <t>계원IRP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</si>
  <si>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</si>
  <si>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</si>
  <si>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</si>
  <si>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</si>
  <si>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</si>
  <si>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</si>
  <si>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</si>
  <si>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</si>
  <si>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</si>
  <si>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</si>
  <si>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</si>
  <si>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</si>
  <si>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</si>
  <si>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KT통신요금 자동납부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</si>
  <si>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</si>
  <si>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</si>
  <si>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</si>
  <si>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</si>
  <si>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</si>
  <si>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</si>
  <si>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</si>
  <si>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하나카드환급</t>
  </si>
  <si>
    <t>란주칼면</t>
  </si>
  <si>
    <t>롯데쇼핑(주)</t>
  </si>
  <si>
    <t>엔에이치엔케이씨피 주식회사</t>
  </si>
  <si>
    <t>맥도날드 명동점</t>
  </si>
  <si>
    <t>어스</t>
  </si>
  <si>
    <t>결산이자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</si>
</sst>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22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 t="s">
        <v>17</v>
      </c>
      <c r="C12" s="10">
        <f>SUM(E12:F12)</f>
        <v>0</v>
      </c>
      <c r="D12" s="10">
        <f>C12/2</f>
        <v>0</v>
      </c>
      <c r="E12" s="10">
        <v>1945</v>
      </c>
      <c r="F12" s="10">
        <v>0</v>
      </c>
    </row>
    <row r="13" spans="2:7">
      <c r="B13" s="9" t="s">
        <v>18</v>
      </c>
      <c r="C13" s="10">
        <f>SUM(E13:F13)</f>
        <v>0</v>
      </c>
      <c r="D13" s="10">
        <f>C13/2</f>
        <v>0</v>
      </c>
      <c r="E13" s="10">
        <v>4821690</v>
      </c>
      <c r="F13" s="10">
        <v>0</v>
      </c>
    </row>
    <row r="14" spans="2:7">
      <c r="B14" s="9" t="s">
        <v>19</v>
      </c>
      <c r="C14" s="10">
        <f>SUM(E14:F14)</f>
        <v>0</v>
      </c>
      <c r="D14" s="10">
        <f>C14/2</f>
        <v>0</v>
      </c>
      <c r="E14" s="10">
        <v>221824</v>
      </c>
      <c r="F14" s="10">
        <v>3</v>
      </c>
    </row>
    <row r="15" spans="2:7">
      <c r="B15" s="9" t="s">
        <v>20</v>
      </c>
      <c r="C15" s="10">
        <f>SUM(E15:F15)</f>
        <v>0</v>
      </c>
      <c r="D15" s="10">
        <f>C15/2</f>
        <v>0</v>
      </c>
      <c r="E15" s="10">
        <v>0</v>
      </c>
      <c r="F15" s="10">
        <v>30000</v>
      </c>
    </row>
    <row r="16" spans="2:7">
      <c r="B16" s="9" t="s">
        <v>21</v>
      </c>
      <c r="C16" s="10">
        <f>SUM(E16:F16)</f>
        <v>0</v>
      </c>
      <c r="D16" s="10">
        <f>C16/2</f>
        <v>0</v>
      </c>
      <c r="E16" s="10">
        <v>0</v>
      </c>
      <c r="F16" s="10">
        <v>406</v>
      </c>
    </row>
    <row r="17" spans="2:6">
      <c r="B17" s="11" t="s">
        <v>22</v>
      </c>
      <c r="C17" s="12">
        <f>SUM(E17:F17)</f>
        <v>0</v>
      </c>
      <c r="D17" s="12">
        <f>C17/2</f>
        <v>0</v>
      </c>
      <c r="E17" s="12">
        <f>SUM(E12:E16)</f>
        <v>0</v>
      </c>
      <c r="F17" s="12">
        <f>SUM(F12:F16)</f>
        <v>0</v>
      </c>
    </row>
    <row r="18" spans="2:6">
      <c r="B18" s="9" t="s">
        <v>23</v>
      </c>
      <c r="C18" s="10">
        <f>SUM(E18:F18)</f>
        <v>0</v>
      </c>
      <c r="D18" s="10">
        <f>C18/2</f>
        <v>0</v>
      </c>
      <c r="E18" s="10">
        <v>0</v>
      </c>
      <c r="F18" s="10">
        <v>19000</v>
      </c>
    </row>
    <row r="19" spans="2:6">
      <c r="B19" s="9" t="s">
        <v>24</v>
      </c>
      <c r="C19" s="10">
        <f>SUM(E19:F19)</f>
        <v>0</v>
      </c>
      <c r="D19" s="10">
        <f>C19/2</f>
        <v>0</v>
      </c>
      <c r="E19" s="10">
        <v>0</v>
      </c>
      <c r="F19" s="10">
        <v>161970</v>
      </c>
    </row>
    <row r="20" spans="2:6">
      <c r="B20" s="9" t="s">
        <v>25</v>
      </c>
      <c r="C20" s="10">
        <f>SUM(E20:F20)</f>
        <v>0</v>
      </c>
      <c r="D20" s="10">
        <f>C20/2</f>
        <v>0</v>
      </c>
      <c r="E20" s="10">
        <v>2523388</v>
      </c>
      <c r="F20" s="10">
        <v>575567</v>
      </c>
    </row>
    <row r="21" spans="2:6">
      <c r="B21" s="9" t="s">
        <v>26</v>
      </c>
      <c r="C21" s="10">
        <f>SUM(E21:F21)</f>
        <v>0</v>
      </c>
      <c r="D21" s="10">
        <f>C21/2</f>
        <v>0</v>
      </c>
      <c r="E21" s="10">
        <v>54200</v>
      </c>
      <c r="F21" s="10">
        <v>56000</v>
      </c>
    </row>
    <row r="22" spans="2:6">
      <c r="B22" s="9" t="s">
        <v>27</v>
      </c>
      <c r="C22" s="10">
        <f>SUM(E22:F22)</f>
        <v>0</v>
      </c>
      <c r="D22" s="10">
        <f>C22/2</f>
        <v>0</v>
      </c>
      <c r="E22" s="10">
        <v>0</v>
      </c>
      <c r="F22" s="10">
        <v>107500</v>
      </c>
    </row>
    <row r="23" spans="2:6">
      <c r="B23" s="9" t="s">
        <v>28</v>
      </c>
      <c r="C23" s="10">
        <f>SUM(E23:F23)</f>
        <v>0</v>
      </c>
      <c r="D23" s="10">
        <f>C23/2</f>
        <v>0</v>
      </c>
      <c r="E23" s="10">
        <v>101180</v>
      </c>
      <c r="F23" s="10">
        <v>49660</v>
      </c>
    </row>
    <row r="24" spans="2:6">
      <c r="B24" s="9" t="s">
        <v>29</v>
      </c>
      <c r="C24" s="10">
        <f>SUM(E24:F24)</f>
        <v>0</v>
      </c>
      <c r="D24" s="10">
        <f>C24/2</f>
        <v>0</v>
      </c>
      <c r="E24" s="10">
        <v>29000</v>
      </c>
      <c r="F24" s="10">
        <v>0</v>
      </c>
    </row>
    <row r="25" spans="2:6">
      <c r="B25" s="9" t="s">
        <v>30</v>
      </c>
      <c r="C25" s="10">
        <f>SUM(E25:F25)</f>
        <v>0</v>
      </c>
      <c r="D25" s="10">
        <f>C25/2</f>
        <v>0</v>
      </c>
      <c r="E25" s="10">
        <v>1000090</v>
      </c>
      <c r="F25" s="10">
        <v>243779</v>
      </c>
    </row>
    <row r="26" spans="2:6">
      <c r="B26" s="9" t="s">
        <v>31</v>
      </c>
      <c r="C26" s="10">
        <f>SUM(E26:F26)</f>
        <v>0</v>
      </c>
      <c r="D26" s="10">
        <f>C26/2</f>
        <v>0</v>
      </c>
      <c r="E26" s="10">
        <v>0</v>
      </c>
      <c r="F26" s="10">
        <v>138000</v>
      </c>
    </row>
    <row r="27" spans="2:6">
      <c r="B27" s="9" t="s">
        <v>32</v>
      </c>
      <c r="C27" s="10">
        <f>SUM(E27:F27)</f>
        <v>0</v>
      </c>
      <c r="D27" s="10">
        <f>C27/2</f>
        <v>0</v>
      </c>
      <c r="E27" s="10">
        <v>719921</v>
      </c>
      <c r="F27" s="10">
        <v>676466</v>
      </c>
    </row>
    <row r="28" spans="2:6">
      <c r="B28" s="9" t="s">
        <v>33</v>
      </c>
      <c r="C28" s="10">
        <f>SUM(E28:F28)</f>
        <v>0</v>
      </c>
      <c r="D28" s="10">
        <f>C28/2</f>
        <v>0</v>
      </c>
      <c r="E28" s="10">
        <v>1000000</v>
      </c>
      <c r="F28" s="10">
        <v>127540</v>
      </c>
    </row>
    <row r="29" spans="2:6">
      <c r="B29" s="9" t="s">
        <v>34</v>
      </c>
      <c r="C29" s="10">
        <f>SUM(E29:F29)</f>
        <v>0</v>
      </c>
      <c r="D29" s="10">
        <f>C29/2</f>
        <v>0</v>
      </c>
      <c r="E29" s="10">
        <v>50000</v>
      </c>
      <c r="F29" s="10">
        <v>0</v>
      </c>
    </row>
    <row r="30" spans="2:6">
      <c r="B30" s="9" t="s">
        <v>35</v>
      </c>
      <c r="C30" s="10">
        <f>SUM(E30:F30)</f>
        <v>0</v>
      </c>
      <c r="D30" s="10">
        <f>C30/2</f>
        <v>0</v>
      </c>
      <c r="E30" s="10">
        <v>75520</v>
      </c>
      <c r="F30" s="10">
        <v>22730</v>
      </c>
    </row>
    <row r="31" spans="2:6">
      <c r="B31" s="9" t="s">
        <v>36</v>
      </c>
      <c r="C31" s="10">
        <f>SUM(E31:F31)</f>
        <v>0</v>
      </c>
      <c r="D31" s="10">
        <f>C31/2</f>
        <v>0</v>
      </c>
      <c r="E31" s="10">
        <v>192500</v>
      </c>
      <c r="F31" s="10">
        <v>34700</v>
      </c>
    </row>
    <row r="32" spans="2:6">
      <c r="B32" s="9" t="s">
        <v>37</v>
      </c>
      <c r="C32" s="10">
        <f>SUM(E32:F32)</f>
        <v>0</v>
      </c>
      <c r="D32" s="10">
        <f>C32/2</f>
        <v>0</v>
      </c>
      <c r="E32" s="10">
        <v>207360</v>
      </c>
      <c r="F32" s="10">
        <v>16900</v>
      </c>
    </row>
    <row r="33" spans="2:9">
      <c r="B33" s="11" t="s">
        <v>38</v>
      </c>
      <c r="C33" s="12">
        <f>SUM(E33:F33)</f>
        <v>0</v>
      </c>
      <c r="D33" s="12">
        <f>C33/2</f>
        <v>0</v>
      </c>
      <c r="E33" s="12">
        <f>SUM(E18:E32)</f>
        <v>0</v>
      </c>
      <c r="F33" s="12">
        <f>SUM(F18:F32)</f>
        <v>0</v>
      </c>
    </row>
    <row r="34" spans="2:9">
      <c r="B34" s="13" t="s">
        <v>39</v>
      </c>
      <c r="C34" s="14">
        <f>SUM(E34:F34)</f>
        <v>0</v>
      </c>
      <c r="D34" s="14">
        <f>C34/2</f>
        <v>0</v>
      </c>
      <c r="E34" s="14">
        <f>E17-E33</f>
        <v>0</v>
      </c>
      <c r="F34" s="14">
        <f>F17-F33</f>
        <v>0</v>
      </c>
    </row>
    <row r="37" spans="2:9">
      <c r="B37" s="1" t="s">
        <v>40</v>
      </c>
    </row>
    <row r="38" spans="2:9">
      <c r="B38" t="s">
        <v>41</v>
      </c>
    </row>
    <row r="39" spans="2:9">
      <c r="B39" s="15" t="s">
        <v>42</v>
      </c>
      <c r="C39" s="15"/>
      <c r="D39" s="15"/>
      <c r="E39" s="15"/>
      <c r="F39" s="16" t="s">
        <v>43</v>
      </c>
      <c r="G39" s="16"/>
      <c r="H39" s="16"/>
      <c r="I39" s="16"/>
    </row>
    <row r="40" spans="2:9">
      <c r="B40" s="17" t="s">
        <v>12</v>
      </c>
      <c r="C40" s="18" t="s">
        <v>44</v>
      </c>
      <c r="D40" s="18"/>
      <c r="E40" s="18" t="s">
        <v>45</v>
      </c>
      <c r="F40" s="18" t="s">
        <v>12</v>
      </c>
      <c r="G40" s="18" t="s">
        <v>44</v>
      </c>
      <c r="H40" s="18"/>
      <c r="I40" s="18" t="s">
        <v>45</v>
      </c>
    </row>
    <row r="41" spans="2:9">
      <c r="B41" s="19" t="s">
        <v>46</v>
      </c>
      <c r="C41" s="20" t="s">
        <v>47</v>
      </c>
      <c r="D41" s="20"/>
      <c r="E41" s="21">
        <v>362983</v>
      </c>
      <c r="F41" s="22" t="s">
        <v>147</v>
      </c>
      <c r="G41" s="20"/>
      <c r="H41" s="20"/>
      <c r="I41" s="23"/>
    </row>
    <row r="42" spans="2:9">
      <c r="B42" s="19"/>
      <c r="C42" s="20" t="s">
        <v>48</v>
      </c>
      <c r="D42" s="20"/>
      <c r="E42" s="21">
        <v>388</v>
      </c>
      <c r="F42" s="20"/>
      <c r="G42" s="20"/>
      <c r="H42" s="20"/>
      <c r="I42" s="24"/>
    </row>
    <row r="43" spans="2:9">
      <c r="B43" s="19"/>
      <c r="C43" s="20" t="s">
        <v>49</v>
      </c>
      <c r="D43" s="20"/>
      <c r="E43" s="21">
        <v>1</v>
      </c>
      <c r="F43" s="20"/>
      <c r="G43" s="20"/>
      <c r="H43" s="20"/>
      <c r="I43" s="24"/>
    </row>
    <row r="44" spans="2:9">
      <c r="B44" s="19"/>
      <c r="C44" s="20" t="s">
        <v>50</v>
      </c>
      <c r="D44" s="20"/>
      <c r="E44" s="21">
        <v>518071</v>
      </c>
      <c r="F44" s="20"/>
      <c r="G44" s="20"/>
      <c r="H44" s="20"/>
      <c r="I44" s="24"/>
    </row>
    <row r="45" spans="2:9">
      <c r="B45" s="19"/>
      <c r="C45" s="20" t="s">
        <v>51</v>
      </c>
      <c r="D45" s="20"/>
      <c r="E45" s="21">
        <v>352623</v>
      </c>
      <c r="F45" s="20"/>
      <c r="G45" s="20"/>
      <c r="H45" s="20"/>
      <c r="I45" s="24"/>
    </row>
    <row r="46" spans="2:9">
      <c r="B46" s="19"/>
      <c r="C46" s="20" t="s">
        <v>52</v>
      </c>
      <c r="D46" s="20"/>
      <c r="E46" s="21">
        <v>130</v>
      </c>
      <c r="F46" s="20"/>
      <c r="G46" s="20"/>
      <c r="H46" s="20"/>
      <c r="I46" s="24"/>
    </row>
    <row r="47" spans="2:9">
      <c r="B47" s="19"/>
      <c r="C47" s="20" t="s">
        <v>53</v>
      </c>
      <c r="D47" s="20"/>
      <c r="E47" s="21">
        <v>1</v>
      </c>
      <c r="F47" s="20"/>
      <c r="G47" s="20"/>
      <c r="H47" s="20"/>
      <c r="I47" s="24"/>
    </row>
    <row r="48" spans="2:9">
      <c r="B48" s="19"/>
      <c r="C48" s="20" t="s">
        <v>54</v>
      </c>
      <c r="D48" s="20"/>
      <c r="E48" s="21">
        <v>133125</v>
      </c>
      <c r="F48" s="20"/>
      <c r="G48" s="20"/>
      <c r="H48" s="20"/>
      <c r="I48" s="24"/>
    </row>
    <row r="49" spans="2:9">
      <c r="B49" s="19"/>
      <c r="C49" s="20" t="s">
        <v>55</v>
      </c>
      <c r="D49" s="20"/>
      <c r="E49" s="21">
        <v>186608</v>
      </c>
      <c r="F49" s="20"/>
      <c r="G49" s="20"/>
      <c r="H49" s="20"/>
      <c r="I49" s="24"/>
    </row>
    <row r="50" spans="2:9">
      <c r="B50" s="19"/>
      <c r="C50" s="20" t="s">
        <v>56</v>
      </c>
      <c r="D50" s="20"/>
      <c r="E50" s="21">
        <v>159972</v>
      </c>
      <c r="F50" s="20"/>
      <c r="G50" s="20"/>
      <c r="H50" s="20"/>
      <c r="I50" s="24"/>
    </row>
    <row r="51" spans="2:9">
      <c r="B51" s="19"/>
      <c r="C51" s="20" t="s">
        <v>57</v>
      </c>
      <c r="D51" s="20"/>
      <c r="E51" s="21">
        <v>362237</v>
      </c>
      <c r="F51" s="20"/>
      <c r="G51" s="20"/>
      <c r="H51" s="20"/>
      <c r="I51" s="24"/>
    </row>
    <row r="52" spans="2:9">
      <c r="B52" s="19"/>
      <c r="C52" s="20" t="s">
        <v>58</v>
      </c>
      <c r="D52" s="20"/>
      <c r="E52" s="21">
        <v>1750185</v>
      </c>
      <c r="F52" s="20"/>
      <c r="G52" s="20"/>
      <c r="H52" s="20"/>
      <c r="I52" s="24"/>
    </row>
    <row r="53" spans="2:9">
      <c r="B53" s="19"/>
      <c r="C53" s="20" t="s">
        <v>59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60</v>
      </c>
      <c r="D54" s="20"/>
      <c r="E54" s="21">
        <v>63</v>
      </c>
      <c r="F54" s="20"/>
      <c r="G54" s="20"/>
      <c r="H54" s="20"/>
      <c r="I54" s="24"/>
    </row>
    <row r="55" spans="2:9">
      <c r="B55" s="19"/>
      <c r="C55" s="20" t="s">
        <v>61</v>
      </c>
      <c r="D55" s="20"/>
      <c r="E55" s="21">
        <v>428558</v>
      </c>
      <c r="F55" s="20"/>
      <c r="G55" s="20"/>
      <c r="H55" s="20"/>
      <c r="I55" s="24"/>
    </row>
    <row r="56" spans="2:9">
      <c r="B56" s="19"/>
      <c r="C56" s="20" t="s">
        <v>21</v>
      </c>
      <c r="D56" s="20"/>
      <c r="E56" s="21">
        <v>362881</v>
      </c>
      <c r="F56" s="20"/>
      <c r="G56" s="20"/>
      <c r="H56" s="20"/>
      <c r="I56" s="24"/>
    </row>
    <row r="57" spans="2:9">
      <c r="B57" s="19"/>
      <c r="C57" s="20" t="s">
        <v>62</v>
      </c>
      <c r="D57" s="20"/>
      <c r="E57" s="21">
        <v>197</v>
      </c>
      <c r="F57" s="20"/>
      <c r="G57" s="20"/>
      <c r="H57" s="20"/>
      <c r="I57" s="24"/>
    </row>
    <row r="58" spans="2:9">
      <c r="B58" s="19"/>
      <c r="C58" s="20" t="s">
        <v>63</v>
      </c>
      <c r="D58" s="20"/>
      <c r="E58" s="21">
        <v>0</v>
      </c>
      <c r="F58" s="20"/>
      <c r="G58" s="20"/>
      <c r="H58" s="20"/>
      <c r="I58" s="24"/>
    </row>
    <row r="59" spans="2:9">
      <c r="B59" s="19"/>
      <c r="C59" s="20" t="s">
        <v>64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65</v>
      </c>
      <c r="C60" s="20"/>
      <c r="D60" s="20"/>
      <c r="E60" s="21"/>
      <c r="F60" s="20"/>
      <c r="G60" s="20"/>
      <c r="H60" s="20"/>
      <c r="I60" s="24"/>
    </row>
    <row r="61" spans="2:9">
      <c r="B61" s="19" t="s">
        <v>66</v>
      </c>
      <c r="C61" s="20" t="s">
        <v>67</v>
      </c>
      <c r="D61" s="20"/>
      <c r="E61" s="21">
        <v>0</v>
      </c>
      <c r="F61" s="20"/>
      <c r="G61" s="20"/>
      <c r="H61" s="20"/>
      <c r="I61" s="24"/>
    </row>
    <row r="62" spans="2:9">
      <c r="B62" s="19" t="s">
        <v>68</v>
      </c>
      <c r="C62" s="20" t="s">
        <v>69</v>
      </c>
      <c r="D62" s="20"/>
      <c r="E62" s="21">
        <v>8000000</v>
      </c>
      <c r="F62" s="20"/>
      <c r="G62" s="20"/>
      <c r="H62" s="20"/>
      <c r="I62" s="24"/>
    </row>
    <row r="63" spans="2:9">
      <c r="B63" s="19" t="s">
        <v>70</v>
      </c>
      <c r="C63" s="20" t="s">
        <v>71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72</v>
      </c>
      <c r="D64" s="20"/>
      <c r="E64" s="21">
        <v>2100</v>
      </c>
      <c r="F64" s="20"/>
      <c r="G64" s="20"/>
      <c r="H64" s="20"/>
      <c r="I64" s="24"/>
    </row>
    <row r="65" spans="2:9">
      <c r="B65" s="19"/>
      <c r="C65" s="20" t="s">
        <v>73</v>
      </c>
      <c r="D65" s="20"/>
      <c r="E65" s="21">
        <v>0</v>
      </c>
      <c r="F65" s="20"/>
      <c r="G65" s="20"/>
      <c r="H65" s="20"/>
      <c r="I65" s="24"/>
    </row>
    <row r="66" spans="2:9">
      <c r="B66" s="19"/>
      <c r="C66" s="20" t="s">
        <v>74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75</v>
      </c>
      <c r="D67" s="20"/>
      <c r="E67" s="21">
        <v>0</v>
      </c>
      <c r="F67" s="20"/>
      <c r="G67" s="20"/>
      <c r="H67" s="20"/>
      <c r="I67" s="24"/>
    </row>
    <row r="68" spans="2:9">
      <c r="B68" s="19" t="s">
        <v>76</v>
      </c>
      <c r="C68" s="20" t="s">
        <v>77</v>
      </c>
      <c r="D68" s="20"/>
      <c r="E68" s="21">
        <v>3068500</v>
      </c>
      <c r="F68" s="20"/>
      <c r="G68" s="20"/>
      <c r="H68" s="20"/>
      <c r="I68" s="24"/>
    </row>
    <row r="69" spans="2:9">
      <c r="B69" s="19"/>
      <c r="C69" s="20" t="s">
        <v>78</v>
      </c>
      <c r="D69" s="20"/>
      <c r="E69" s="21">
        <v>1474230</v>
      </c>
      <c r="F69" s="20"/>
      <c r="G69" s="20"/>
      <c r="H69" s="20"/>
      <c r="I69" s="24"/>
    </row>
    <row r="70" spans="2:9">
      <c r="B70" s="19"/>
      <c r="C70" s="20" t="s">
        <v>79</v>
      </c>
      <c r="D70" s="20"/>
      <c r="E70" s="21">
        <v>1480700</v>
      </c>
      <c r="F70" s="20"/>
      <c r="G70" s="20"/>
      <c r="H70" s="20"/>
      <c r="I70" s="24"/>
    </row>
    <row r="71" spans="2:9">
      <c r="B71" s="19"/>
      <c r="C71" s="20" t="s">
        <v>80</v>
      </c>
      <c r="D71" s="20"/>
      <c r="E71" s="21">
        <v>1062750</v>
      </c>
      <c r="F71" s="20"/>
      <c r="G71" s="20"/>
      <c r="H71" s="20"/>
      <c r="I71" s="24"/>
    </row>
    <row r="72" spans="2:9">
      <c r="B72" s="19"/>
      <c r="C72" s="20" t="s">
        <v>81</v>
      </c>
      <c r="D72" s="20"/>
      <c r="E72" s="21">
        <v>800800</v>
      </c>
      <c r="F72" s="20"/>
      <c r="G72" s="20"/>
      <c r="H72" s="20"/>
      <c r="I72" s="24"/>
    </row>
    <row r="73" spans="2:9">
      <c r="B73" s="19"/>
      <c r="C73" s="20" t="s">
        <v>82</v>
      </c>
      <c r="D73" s="20"/>
      <c r="E73" s="21">
        <v>796180</v>
      </c>
      <c r="F73" s="20"/>
      <c r="G73" s="20"/>
      <c r="H73" s="20"/>
      <c r="I73" s="24"/>
    </row>
    <row r="74" spans="2:9">
      <c r="B74" s="19"/>
      <c r="C74" s="20" t="s">
        <v>83</v>
      </c>
      <c r="D74" s="20"/>
      <c r="E74" s="21">
        <v>785000</v>
      </c>
      <c r="F74" s="20"/>
      <c r="G74" s="20"/>
      <c r="H74" s="20"/>
      <c r="I74" s="24"/>
    </row>
    <row r="75" spans="2:9">
      <c r="B75" s="19"/>
      <c r="C75" s="20" t="s">
        <v>84</v>
      </c>
      <c r="D75" s="20"/>
      <c r="E75" s="21">
        <v>753880</v>
      </c>
      <c r="F75" s="20"/>
      <c r="G75" s="20"/>
      <c r="H75" s="20"/>
      <c r="I75" s="24"/>
    </row>
    <row r="76" spans="2:9">
      <c r="B76" s="19"/>
      <c r="C76" s="20" t="s">
        <v>85</v>
      </c>
      <c r="D76" s="20"/>
      <c r="E76" s="21">
        <v>679830</v>
      </c>
      <c r="F76" s="20"/>
      <c r="G76" s="20"/>
      <c r="H76" s="20"/>
      <c r="I76" s="24"/>
    </row>
    <row r="77" spans="2:9">
      <c r="B77" s="19"/>
      <c r="C77" s="20" t="s">
        <v>86</v>
      </c>
      <c r="D77" s="20"/>
      <c r="E77" s="21">
        <v>661250</v>
      </c>
      <c r="F77" s="20"/>
      <c r="G77" s="20"/>
      <c r="H77" s="20"/>
      <c r="I77" s="24"/>
    </row>
    <row r="78" spans="2:9">
      <c r="B78" s="19"/>
      <c r="C78" s="20" t="s">
        <v>87</v>
      </c>
      <c r="D78" s="20"/>
      <c r="E78" s="21">
        <v>575660</v>
      </c>
      <c r="F78" s="20"/>
      <c r="G78" s="20"/>
      <c r="H78" s="20"/>
      <c r="I78" s="24"/>
    </row>
    <row r="79" spans="2:9">
      <c r="B79" s="19"/>
      <c r="C79" s="20" t="s">
        <v>88</v>
      </c>
      <c r="D79" s="20"/>
      <c r="E79" s="21">
        <v>557380</v>
      </c>
      <c r="F79" s="20"/>
      <c r="G79" s="20"/>
      <c r="H79" s="20"/>
      <c r="I79" s="24"/>
    </row>
    <row r="80" spans="2:9">
      <c r="B80" s="19"/>
      <c r="C80" s="20" t="s">
        <v>89</v>
      </c>
      <c r="D80" s="20"/>
      <c r="E80" s="21">
        <v>520500</v>
      </c>
      <c r="F80" s="20"/>
      <c r="G80" s="20"/>
      <c r="H80" s="20"/>
      <c r="I80" s="24"/>
    </row>
    <row r="81" spans="2:9">
      <c r="B81" s="19"/>
      <c r="C81" s="20" t="s">
        <v>90</v>
      </c>
      <c r="D81" s="20"/>
      <c r="E81" s="21">
        <v>505080</v>
      </c>
      <c r="F81" s="20"/>
      <c r="G81" s="20"/>
      <c r="H81" s="20"/>
      <c r="I81" s="24"/>
    </row>
    <row r="82" spans="2:9">
      <c r="B82" s="19"/>
      <c r="C82" s="20" t="s">
        <v>91</v>
      </c>
      <c r="D82" s="20"/>
      <c r="E82" s="21">
        <v>429500</v>
      </c>
      <c r="F82" s="20"/>
      <c r="G82" s="20"/>
      <c r="H82" s="20"/>
      <c r="I82" s="24"/>
    </row>
    <row r="83" spans="2:9">
      <c r="B83" s="19"/>
      <c r="C83" s="20" t="s">
        <v>92</v>
      </c>
      <c r="D83" s="20"/>
      <c r="E83" s="21">
        <v>418950</v>
      </c>
      <c r="F83" s="20"/>
      <c r="G83" s="20"/>
      <c r="H83" s="20"/>
      <c r="I83" s="24"/>
    </row>
    <row r="84" spans="2:9">
      <c r="B84" s="19"/>
      <c r="C84" s="20" t="s">
        <v>93</v>
      </c>
      <c r="D84" s="20"/>
      <c r="E84" s="21">
        <v>403000</v>
      </c>
      <c r="F84" s="20"/>
      <c r="G84" s="20"/>
      <c r="H84" s="20"/>
      <c r="I84" s="24"/>
    </row>
    <row r="85" spans="2:9">
      <c r="B85" s="19"/>
      <c r="C85" s="20" t="s">
        <v>94</v>
      </c>
      <c r="D85" s="20"/>
      <c r="E85" s="21">
        <v>394800</v>
      </c>
      <c r="F85" s="20"/>
      <c r="G85" s="20"/>
      <c r="H85" s="20"/>
      <c r="I85" s="24"/>
    </row>
    <row r="86" spans="2:9">
      <c r="B86" s="19"/>
      <c r="C86" s="20" t="s">
        <v>95</v>
      </c>
      <c r="D86" s="20"/>
      <c r="E86" s="21">
        <v>354000</v>
      </c>
      <c r="F86" s="20"/>
      <c r="G86" s="20"/>
      <c r="H86" s="20"/>
      <c r="I86" s="24"/>
    </row>
    <row r="87" spans="2:9">
      <c r="B87" s="19"/>
      <c r="C87" s="20" t="s">
        <v>96</v>
      </c>
      <c r="D87" s="20"/>
      <c r="E87" s="21">
        <v>326500</v>
      </c>
      <c r="F87" s="20"/>
      <c r="G87" s="20"/>
      <c r="H87" s="20"/>
      <c r="I87" s="24"/>
    </row>
    <row r="88" spans="2:9">
      <c r="B88" s="19"/>
      <c r="C88" s="20" t="s">
        <v>97</v>
      </c>
      <c r="D88" s="20"/>
      <c r="E88" s="21">
        <v>313600</v>
      </c>
      <c r="F88" s="20"/>
      <c r="G88" s="20"/>
      <c r="H88" s="20"/>
      <c r="I88" s="24"/>
    </row>
    <row r="89" spans="2:9">
      <c r="B89" s="19"/>
      <c r="C89" s="20" t="s">
        <v>98</v>
      </c>
      <c r="D89" s="20"/>
      <c r="E89" s="21">
        <v>312800</v>
      </c>
      <c r="F89" s="20"/>
      <c r="G89" s="20"/>
      <c r="H89" s="20"/>
      <c r="I89" s="24"/>
    </row>
    <row r="90" spans="2:9">
      <c r="B90" s="19"/>
      <c r="C90" s="20" t="s">
        <v>99</v>
      </c>
      <c r="D90" s="20"/>
      <c r="E90" s="21">
        <v>284580</v>
      </c>
      <c r="F90" s="20"/>
      <c r="G90" s="20"/>
      <c r="H90" s="20"/>
      <c r="I90" s="24"/>
    </row>
    <row r="91" spans="2:9">
      <c r="B91" s="19"/>
      <c r="C91" s="20" t="s">
        <v>100</v>
      </c>
      <c r="D91" s="20"/>
      <c r="E91" s="21">
        <v>277141.998</v>
      </c>
      <c r="F91" s="20"/>
      <c r="G91" s="20"/>
      <c r="H91" s="20"/>
      <c r="I91" s="24"/>
    </row>
    <row r="92" spans="2:9">
      <c r="B92" s="19"/>
      <c r="C92" s="20" t="s">
        <v>101</v>
      </c>
      <c r="D92" s="20"/>
      <c r="E92" s="21">
        <v>241440</v>
      </c>
      <c r="F92" s="20"/>
      <c r="G92" s="20"/>
      <c r="H92" s="20"/>
      <c r="I92" s="24"/>
    </row>
    <row r="93" spans="2:9">
      <c r="B93" s="19"/>
      <c r="C93" s="20" t="s">
        <v>102</v>
      </c>
      <c r="D93" s="20"/>
      <c r="E93" s="21">
        <v>237440</v>
      </c>
      <c r="F93" s="20"/>
      <c r="G93" s="20"/>
      <c r="H93" s="20"/>
      <c r="I93" s="24"/>
    </row>
    <row r="94" spans="2:9">
      <c r="B94" s="19"/>
      <c r="C94" s="20" t="s">
        <v>103</v>
      </c>
      <c r="D94" s="20"/>
      <c r="E94" s="21">
        <v>231920</v>
      </c>
      <c r="F94" s="20"/>
      <c r="G94" s="20"/>
      <c r="H94" s="20"/>
      <c r="I94" s="24"/>
    </row>
    <row r="95" spans="2:9">
      <c r="B95" s="19"/>
      <c r="C95" s="20" t="s">
        <v>104</v>
      </c>
      <c r="D95" s="20"/>
      <c r="E95" s="21">
        <v>214800</v>
      </c>
      <c r="F95" s="20"/>
      <c r="G95" s="20"/>
      <c r="H95" s="20"/>
      <c r="I95" s="24"/>
    </row>
    <row r="96" spans="2:9">
      <c r="B96" s="19"/>
      <c r="C96" s="20" t="s">
        <v>105</v>
      </c>
      <c r="D96" s="20"/>
      <c r="E96" s="21">
        <v>212000</v>
      </c>
      <c r="F96" s="20"/>
      <c r="G96" s="20"/>
      <c r="H96" s="20"/>
      <c r="I96" s="24"/>
    </row>
    <row r="97" spans="2:9">
      <c r="B97" s="19"/>
      <c r="C97" s="20" t="s">
        <v>106</v>
      </c>
      <c r="D97" s="20"/>
      <c r="E97" s="21">
        <v>192150</v>
      </c>
      <c r="F97" s="20"/>
      <c r="G97" s="20"/>
      <c r="H97" s="20"/>
      <c r="I97" s="24"/>
    </row>
    <row r="98" spans="2:9">
      <c r="B98" s="19"/>
      <c r="C98" s="20" t="s">
        <v>107</v>
      </c>
      <c r="D98" s="20"/>
      <c r="E98" s="21">
        <v>187800</v>
      </c>
      <c r="F98" s="20"/>
      <c r="G98" s="20"/>
      <c r="H98" s="20"/>
      <c r="I98" s="24"/>
    </row>
    <row r="99" spans="2:9">
      <c r="B99" s="19"/>
      <c r="C99" s="20" t="s">
        <v>108</v>
      </c>
      <c r="D99" s="20"/>
      <c r="E99" s="21">
        <v>156060</v>
      </c>
      <c r="F99" s="20"/>
      <c r="G99" s="20"/>
      <c r="H99" s="20"/>
      <c r="I99" s="24"/>
    </row>
    <row r="100" spans="2:9">
      <c r="B100" s="19"/>
      <c r="C100" s="20" t="s">
        <v>109</v>
      </c>
      <c r="D100" s="20"/>
      <c r="E100" s="21">
        <v>139920</v>
      </c>
      <c r="F100" s="20"/>
      <c r="G100" s="20"/>
      <c r="H100" s="20"/>
      <c r="I100" s="24"/>
    </row>
    <row r="101" spans="2:9">
      <c r="B101" s="19"/>
      <c r="C101" s="20" t="s">
        <v>110</v>
      </c>
      <c r="D101" s="20"/>
      <c r="E101" s="21">
        <v>130700</v>
      </c>
      <c r="F101" s="20"/>
      <c r="G101" s="20"/>
      <c r="H101" s="20"/>
      <c r="I101" s="24"/>
    </row>
    <row r="102" spans="2:9">
      <c r="B102" s="19"/>
      <c r="C102" s="20" t="s">
        <v>111</v>
      </c>
      <c r="D102" s="20"/>
      <c r="E102" s="21">
        <v>129200</v>
      </c>
      <c r="F102" s="20"/>
      <c r="G102" s="20"/>
      <c r="H102" s="20"/>
      <c r="I102" s="24"/>
    </row>
    <row r="103" spans="2:9">
      <c r="B103" s="19"/>
      <c r="C103" s="20" t="s">
        <v>112</v>
      </c>
      <c r="D103" s="20"/>
      <c r="E103" s="21">
        <v>116300</v>
      </c>
      <c r="F103" s="20"/>
      <c r="G103" s="20"/>
      <c r="H103" s="20"/>
      <c r="I103" s="24"/>
    </row>
    <row r="104" spans="2:9">
      <c r="B104" s="19"/>
      <c r="C104" s="20" t="s">
        <v>113</v>
      </c>
      <c r="D104" s="20"/>
      <c r="E104" s="21">
        <v>114000</v>
      </c>
      <c r="F104" s="20"/>
      <c r="G104" s="20"/>
      <c r="H104" s="20"/>
      <c r="I104" s="24"/>
    </row>
    <row r="105" spans="2:9">
      <c r="B105" s="19"/>
      <c r="C105" s="20" t="s">
        <v>114</v>
      </c>
      <c r="D105" s="20"/>
      <c r="E105" s="21">
        <v>102000</v>
      </c>
      <c r="F105" s="20"/>
      <c r="G105" s="20"/>
      <c r="H105" s="20"/>
      <c r="I105" s="24"/>
    </row>
    <row r="106" spans="2:9">
      <c r="B106" s="19"/>
      <c r="C106" s="20" t="s">
        <v>115</v>
      </c>
      <c r="D106" s="20"/>
      <c r="E106" s="21">
        <v>101600</v>
      </c>
      <c r="F106" s="20"/>
      <c r="G106" s="20"/>
      <c r="H106" s="20"/>
      <c r="I106" s="24"/>
    </row>
    <row r="107" spans="2:9">
      <c r="B107" s="19"/>
      <c r="C107" s="20" t="s">
        <v>116</v>
      </c>
      <c r="D107" s="20"/>
      <c r="E107" s="21">
        <v>99000</v>
      </c>
      <c r="F107" s="20"/>
      <c r="G107" s="20"/>
      <c r="H107" s="20"/>
      <c r="I107" s="24"/>
    </row>
    <row r="108" spans="2:9">
      <c r="B108" s="19"/>
      <c r="C108" s="20" t="s">
        <v>117</v>
      </c>
      <c r="D108" s="20"/>
      <c r="E108" s="21">
        <v>67770</v>
      </c>
      <c r="F108" s="20"/>
      <c r="G108" s="20"/>
      <c r="H108" s="20"/>
      <c r="I108" s="24"/>
    </row>
    <row r="109" spans="2:9">
      <c r="B109" s="19"/>
      <c r="C109" s="20" t="s">
        <v>118</v>
      </c>
      <c r="D109" s="20"/>
      <c r="E109" s="21">
        <v>52650</v>
      </c>
      <c r="F109" s="20"/>
      <c r="G109" s="20"/>
      <c r="H109" s="20"/>
      <c r="I109" s="24"/>
    </row>
    <row r="110" spans="2:9">
      <c r="B110" s="19"/>
      <c r="C110" s="20" t="s">
        <v>119</v>
      </c>
      <c r="D110" s="20"/>
      <c r="E110" s="21">
        <v>16767</v>
      </c>
      <c r="F110" s="20"/>
      <c r="G110" s="20"/>
      <c r="H110" s="20"/>
      <c r="I110" s="24"/>
    </row>
    <row r="111" spans="2:9">
      <c r="B111" s="19"/>
      <c r="C111" s="20" t="s">
        <v>120</v>
      </c>
      <c r="D111" s="20"/>
      <c r="E111" s="21">
        <v>4851.413532</v>
      </c>
      <c r="F111" s="20"/>
      <c r="G111" s="20"/>
      <c r="H111" s="20"/>
      <c r="I111" s="24"/>
    </row>
    <row r="112" spans="2:9">
      <c r="B112" s="19"/>
      <c r="C112" s="20" t="s">
        <v>121</v>
      </c>
      <c r="D112" s="20"/>
      <c r="E112" s="21">
        <v>1419000</v>
      </c>
      <c r="F112" s="20"/>
      <c r="G112" s="20"/>
      <c r="H112" s="20"/>
      <c r="I112" s="24"/>
    </row>
    <row r="113" spans="2:9">
      <c r="B113" s="19"/>
      <c r="C113" s="20" t="s">
        <v>122</v>
      </c>
      <c r="D113" s="20"/>
      <c r="E113" s="21">
        <v>1293329.324</v>
      </c>
      <c r="F113" s="20"/>
      <c r="G113" s="20"/>
      <c r="H113" s="20"/>
      <c r="I113" s="24"/>
    </row>
    <row r="114" spans="2:9">
      <c r="B114" s="19"/>
      <c r="C114" s="20" t="s">
        <v>120</v>
      </c>
      <c r="D114" s="20"/>
      <c r="E114" s="21">
        <v>1212002.445066487</v>
      </c>
      <c r="F114" s="20"/>
      <c r="G114" s="20"/>
      <c r="H114" s="20"/>
      <c r="I114" s="24"/>
    </row>
    <row r="115" spans="2:9">
      <c r="B115" s="19"/>
      <c r="C115" s="20" t="s">
        <v>123</v>
      </c>
      <c r="D115" s="20"/>
      <c r="E115" s="21">
        <v>117414.602</v>
      </c>
      <c r="F115" s="20"/>
      <c r="G115" s="20"/>
      <c r="H115" s="20"/>
      <c r="I115" s="24"/>
    </row>
    <row r="116" spans="2:9">
      <c r="B116" s="19"/>
      <c r="C116" s="20" t="s">
        <v>124</v>
      </c>
      <c r="D116" s="20"/>
      <c r="E116" s="21">
        <v>55500</v>
      </c>
      <c r="F116" s="20"/>
      <c r="G116" s="20"/>
      <c r="H116" s="20"/>
      <c r="I116" s="24"/>
    </row>
    <row r="117" spans="2:9">
      <c r="B117" s="19"/>
      <c r="C117" s="20" t="s">
        <v>125</v>
      </c>
      <c r="D117" s="20"/>
      <c r="E117" s="21">
        <v>1352.7032896</v>
      </c>
      <c r="F117" s="20"/>
      <c r="G117" s="20"/>
      <c r="H117" s="20"/>
      <c r="I117" s="24"/>
    </row>
    <row r="118" spans="2:9">
      <c r="B118" s="19"/>
      <c r="C118" s="20" t="s">
        <v>126</v>
      </c>
      <c r="D118" s="20"/>
      <c r="E118" s="21">
        <v>305364</v>
      </c>
      <c r="F118" s="20"/>
      <c r="G118" s="20"/>
      <c r="H118" s="20"/>
      <c r="I118" s="24"/>
    </row>
    <row r="119" spans="2:9">
      <c r="B119" s="19"/>
      <c r="C119" s="20" t="s">
        <v>127</v>
      </c>
      <c r="D119" s="20"/>
      <c r="E119" s="21">
        <v>58621.4214</v>
      </c>
      <c r="F119" s="20"/>
      <c r="G119" s="20"/>
      <c r="H119" s="20"/>
      <c r="I119" s="24"/>
    </row>
    <row r="120" spans="2:9">
      <c r="B120" s="19"/>
      <c r="C120" s="20" t="s">
        <v>128</v>
      </c>
      <c r="D120" s="20"/>
      <c r="E120" s="21">
        <v>19908.884</v>
      </c>
      <c r="F120" s="20"/>
      <c r="G120" s="20"/>
      <c r="H120" s="20"/>
      <c r="I120" s="24"/>
    </row>
    <row r="121" spans="2:9">
      <c r="B121" s="19"/>
      <c r="C121" s="20" t="s">
        <v>129</v>
      </c>
      <c r="D121" s="20"/>
      <c r="E121" s="21">
        <v>537670.6054</v>
      </c>
      <c r="F121" s="20"/>
      <c r="G121" s="20"/>
      <c r="H121" s="20"/>
      <c r="I121" s="24"/>
    </row>
    <row r="122" spans="2:9">
      <c r="B122" s="19"/>
      <c r="C122" s="20" t="s">
        <v>129</v>
      </c>
      <c r="D122" s="20"/>
      <c r="E122" s="21">
        <v>9680</v>
      </c>
      <c r="F122" s="20"/>
      <c r="G122" s="20"/>
      <c r="H122" s="20"/>
      <c r="I122" s="24"/>
    </row>
    <row r="123" spans="2:9">
      <c r="B123" s="19"/>
      <c r="C123" s="20" t="s">
        <v>130</v>
      </c>
      <c r="D123" s="20"/>
      <c r="E123" s="21">
        <v>387</v>
      </c>
      <c r="F123" s="20"/>
      <c r="G123" s="20"/>
      <c r="H123" s="20"/>
      <c r="I123" s="24"/>
    </row>
    <row r="124" spans="2:9">
      <c r="B124" s="19"/>
      <c r="C124" s="20" t="s">
        <v>131</v>
      </c>
      <c r="D124" s="20"/>
      <c r="E124" s="21">
        <v>327446.04654</v>
      </c>
      <c r="F124" s="20"/>
      <c r="G124" s="20"/>
      <c r="H124" s="20"/>
      <c r="I124" s="24"/>
    </row>
    <row r="125" spans="2:9">
      <c r="B125" s="19"/>
      <c r="C125" s="20" t="s">
        <v>132</v>
      </c>
      <c r="D125" s="20"/>
      <c r="E125" s="21">
        <v>92382</v>
      </c>
      <c r="F125" s="20"/>
      <c r="G125" s="20"/>
      <c r="H125" s="20"/>
      <c r="I125" s="24"/>
    </row>
    <row r="126" spans="2:9">
      <c r="B126" s="19"/>
      <c r="C126" s="20" t="s">
        <v>132</v>
      </c>
      <c r="D126" s="20"/>
      <c r="E126" s="21">
        <v>19640</v>
      </c>
      <c r="F126" s="20"/>
      <c r="G126" s="20"/>
      <c r="H126" s="20"/>
      <c r="I126" s="24"/>
    </row>
    <row r="127" spans="2:9">
      <c r="B127" s="19"/>
      <c r="C127" s="20" t="s">
        <v>132</v>
      </c>
      <c r="D127" s="20"/>
      <c r="E127" s="21">
        <v>3</v>
      </c>
      <c r="F127" s="20"/>
      <c r="G127" s="20"/>
      <c r="H127" s="20"/>
      <c r="I127" s="24"/>
    </row>
    <row r="128" spans="2:9">
      <c r="B128" s="19"/>
      <c r="C128" s="20" t="s">
        <v>132</v>
      </c>
      <c r="D128" s="20"/>
      <c r="E128" s="21">
        <v>428558</v>
      </c>
      <c r="F128" s="20"/>
      <c r="G128" s="20"/>
      <c r="H128" s="20"/>
      <c r="I128" s="24"/>
    </row>
    <row r="129" spans="2:9">
      <c r="B129" s="19"/>
      <c r="C129" s="20" t="s">
        <v>133</v>
      </c>
      <c r="D129" s="20"/>
      <c r="E129" s="21">
        <v>1</v>
      </c>
      <c r="F129" s="20"/>
      <c r="G129" s="20"/>
      <c r="H129" s="20"/>
      <c r="I129" s="24"/>
    </row>
    <row r="130" spans="2:9">
      <c r="B130" s="19"/>
      <c r="C130" s="20" t="s">
        <v>134</v>
      </c>
      <c r="D130" s="20"/>
      <c r="E130" s="21">
        <v>70</v>
      </c>
      <c r="F130" s="20"/>
      <c r="G130" s="20"/>
      <c r="H130" s="20"/>
      <c r="I130" s="24"/>
    </row>
    <row r="131" spans="2:9">
      <c r="B131" s="19" t="s">
        <v>135</v>
      </c>
      <c r="C131" s="20"/>
      <c r="D131" s="20"/>
      <c r="E131" s="21"/>
      <c r="F131" s="20"/>
      <c r="G131" s="20"/>
      <c r="H131" s="20"/>
      <c r="I131" s="24"/>
    </row>
    <row r="132" spans="2:9">
      <c r="B132" s="19" t="s">
        <v>136</v>
      </c>
      <c r="C132" s="20"/>
      <c r="D132" s="20"/>
      <c r="E132" s="21"/>
      <c r="F132" s="20"/>
      <c r="G132" s="20"/>
      <c r="H132" s="20"/>
      <c r="I132" s="24"/>
    </row>
    <row r="133" spans="2:9">
      <c r="B133" s="19" t="s">
        <v>137</v>
      </c>
      <c r="C133" s="20"/>
      <c r="D133" s="20"/>
      <c r="E133" s="21"/>
      <c r="F133" s="20"/>
      <c r="G133" s="20"/>
      <c r="H133" s="20"/>
      <c r="I133" s="24"/>
    </row>
    <row r="134" spans="2:9">
      <c r="B134" s="19" t="s">
        <v>138</v>
      </c>
      <c r="C134" s="20" t="s">
        <v>139</v>
      </c>
      <c r="D134" s="20"/>
      <c r="E134" s="21">
        <v>0</v>
      </c>
      <c r="F134" s="20"/>
      <c r="G134" s="20"/>
      <c r="H134" s="20"/>
      <c r="I134" s="24"/>
    </row>
    <row r="135" spans="2:9">
      <c r="B135" s="19"/>
      <c r="C135" s="20" t="s">
        <v>140</v>
      </c>
      <c r="D135" s="20"/>
      <c r="E135" s="21">
        <v>0</v>
      </c>
      <c r="F135" s="20"/>
      <c r="G135" s="20"/>
      <c r="H135" s="20"/>
      <c r="I135" s="24"/>
    </row>
    <row r="136" spans="2:9">
      <c r="B136" s="19"/>
      <c r="C136" s="20" t="s">
        <v>141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142</v>
      </c>
      <c r="D137" s="20"/>
      <c r="E137" s="21">
        <v>0</v>
      </c>
      <c r="F137" s="20"/>
      <c r="G137" s="20"/>
      <c r="H137" s="20"/>
      <c r="I137" s="24"/>
    </row>
    <row r="138" spans="2:9">
      <c r="B138" s="19"/>
      <c r="C138" s="20" t="s">
        <v>143</v>
      </c>
      <c r="D138" s="20"/>
      <c r="E138" s="21">
        <v>0</v>
      </c>
      <c r="F138" s="20"/>
      <c r="G138" s="20"/>
      <c r="H138" s="20"/>
      <c r="I138" s="24"/>
    </row>
    <row r="139" spans="2:9">
      <c r="B139" s="19"/>
      <c r="C139" s="20" t="s">
        <v>143</v>
      </c>
      <c r="D139" s="20"/>
      <c r="E139" s="21">
        <v>0</v>
      </c>
      <c r="F139" s="20"/>
      <c r="G139" s="20"/>
      <c r="H139" s="20"/>
      <c r="I139" s="24"/>
    </row>
    <row r="140" spans="2:9">
      <c r="B140" s="19" t="s">
        <v>144</v>
      </c>
      <c r="C140" s="20" t="s">
        <v>145</v>
      </c>
      <c r="D140" s="20"/>
      <c r="E140" s="21">
        <v>5449698</v>
      </c>
      <c r="F140" s="20"/>
      <c r="G140" s="20"/>
      <c r="H140" s="20"/>
      <c r="I140" s="24"/>
    </row>
    <row r="141" spans="2:9">
      <c r="B141" s="19"/>
      <c r="C141" s="20" t="s">
        <v>146</v>
      </c>
      <c r="D141" s="20"/>
      <c r="E141" s="21">
        <v>2950000</v>
      </c>
      <c r="F141" s="20"/>
      <c r="G141" s="20"/>
      <c r="H141" s="20"/>
      <c r="I141" s="24"/>
    </row>
    <row r="142" spans="2:9">
      <c r="B142" s="25" t="s">
        <v>148</v>
      </c>
      <c r="C142" s="25"/>
      <c r="D142" s="25"/>
      <c r="E142" s="26">
        <f>SUM(E41:E141)</f>
        <v>0</v>
      </c>
      <c r="F142" s="27" t="s">
        <v>149</v>
      </c>
      <c r="G142" s="27"/>
      <c r="H142" s="27"/>
      <c r="I142" s="28">
        <f>SUM(I41:I141)</f>
        <v>0</v>
      </c>
    </row>
    <row r="143" spans="2:9">
      <c r="B143" s="29" t="s">
        <v>150</v>
      </c>
      <c r="C143" s="29"/>
      <c r="D143" s="29"/>
      <c r="E143" s="29"/>
      <c r="F143" s="29"/>
      <c r="G143" s="29"/>
      <c r="H143" s="29"/>
      <c r="I143" s="29"/>
    </row>
    <row r="144" spans="2:9">
      <c r="B144" s="30">
        <f>E142-I142</f>
        <v>0</v>
      </c>
      <c r="C144" s="30"/>
      <c r="D144" s="30"/>
      <c r="E144" s="30"/>
      <c r="F144" s="30"/>
      <c r="G144" s="30"/>
      <c r="H144" s="30"/>
      <c r="I144" s="30"/>
    </row>
    <row r="147" spans="2:8">
      <c r="B147" s="1" t="s">
        <v>151</v>
      </c>
    </row>
    <row r="148" spans="2:8">
      <c r="B148" t="s">
        <v>152</v>
      </c>
    </row>
    <row r="149" spans="2:8">
      <c r="B149" s="31" t="s">
        <v>153</v>
      </c>
      <c r="C149" s="32" t="s">
        <v>154</v>
      </c>
      <c r="D149" s="32"/>
      <c r="E149" s="32" t="s">
        <v>155</v>
      </c>
      <c r="F149" s="32" t="s">
        <v>156</v>
      </c>
      <c r="G149" s="32" t="s">
        <v>157</v>
      </c>
      <c r="H149" s="32" t="s">
        <v>158</v>
      </c>
    </row>
    <row r="150" spans="2:8">
      <c r="B150" s="33" t="s">
        <v>159</v>
      </c>
      <c r="C150" s="34" t="s">
        <v>139</v>
      </c>
      <c r="D150" s="34"/>
      <c r="E150" s="35" t="s">
        <v>160</v>
      </c>
      <c r="F150" s="36">
        <v>0</v>
      </c>
      <c r="G150" s="37">
        <v>43560</v>
      </c>
      <c r="H150" s="37">
        <v>49039</v>
      </c>
    </row>
    <row r="151" spans="2:8">
      <c r="B151" s="33" t="s">
        <v>159</v>
      </c>
      <c r="C151" s="34" t="s">
        <v>140</v>
      </c>
      <c r="D151" s="34"/>
      <c r="E151" s="35" t="s">
        <v>160</v>
      </c>
      <c r="F151" s="36">
        <v>0</v>
      </c>
      <c r="G151" s="37">
        <v>43585</v>
      </c>
      <c r="H151" s="37">
        <v>70979</v>
      </c>
    </row>
    <row r="152" spans="2:8">
      <c r="B152" s="33" t="s">
        <v>161</v>
      </c>
      <c r="C152" s="34" t="s">
        <v>141</v>
      </c>
      <c r="D152" s="34"/>
      <c r="E152" s="35" t="s">
        <v>160</v>
      </c>
      <c r="F152" s="36">
        <v>0</v>
      </c>
      <c r="G152" s="37">
        <v>45617</v>
      </c>
      <c r="H152" s="37">
        <v>71184</v>
      </c>
    </row>
    <row r="153" spans="2:8">
      <c r="B153" s="33" t="s">
        <v>159</v>
      </c>
      <c r="C153" s="34" t="s">
        <v>142</v>
      </c>
      <c r="D153" s="34"/>
      <c r="E153" s="35" t="s">
        <v>160</v>
      </c>
      <c r="F153" s="36">
        <v>0</v>
      </c>
      <c r="G153" s="37">
        <v>43511</v>
      </c>
      <c r="H153" s="37">
        <v>50816</v>
      </c>
    </row>
    <row r="154" spans="2:8">
      <c r="B154" s="33" t="s">
        <v>159</v>
      </c>
      <c r="C154" s="34" t="s">
        <v>143</v>
      </c>
      <c r="D154" s="34"/>
      <c r="E154" s="35" t="s">
        <v>160</v>
      </c>
      <c r="F154" s="36">
        <v>0</v>
      </c>
      <c r="G154" s="37">
        <v>43514</v>
      </c>
      <c r="H154" s="37">
        <v>48993</v>
      </c>
    </row>
    <row r="155" spans="2:8">
      <c r="B155" s="33" t="s">
        <v>159</v>
      </c>
      <c r="C155" s="34" t="s">
        <v>143</v>
      </c>
      <c r="D155" s="34"/>
      <c r="E155" s="35" t="s">
        <v>160</v>
      </c>
      <c r="F155" s="36">
        <v>0</v>
      </c>
      <c r="G155" s="37">
        <v>43517</v>
      </c>
      <c r="H155" s="37">
        <v>48996</v>
      </c>
    </row>
    <row r="156" spans="2:8">
      <c r="B156" s="38" t="s">
        <v>13</v>
      </c>
      <c r="C156" s="39" t="s">
        <v>162</v>
      </c>
      <c r="D156" s="39"/>
      <c r="E156" s="39" t="s">
        <v>163</v>
      </c>
      <c r="F156" s="39" t="s">
        <v>164</v>
      </c>
      <c r="G156" s="39"/>
      <c r="H156" s="40"/>
    </row>
    <row r="157" spans="2:8">
      <c r="B157" s="38"/>
      <c r="C157" s="41" t="s">
        <v>165</v>
      </c>
      <c r="D157" s="41"/>
      <c r="E157" s="41" t="s">
        <v>166</v>
      </c>
      <c r="F157" s="42">
        <f>SUM(F150:F155)</f>
        <v>0</v>
      </c>
      <c r="G157" s="41"/>
      <c r="H157" s="43"/>
    </row>
    <row r="159" spans="2:8">
      <c r="B159" s="1" t="s">
        <v>167</v>
      </c>
    </row>
    <row r="160" spans="2:8">
      <c r="B160" t="s">
        <v>168</v>
      </c>
    </row>
    <row r="161" spans="2:10">
      <c r="B161" s="31" t="s">
        <v>169</v>
      </c>
      <c r="C161" s="32" t="s">
        <v>153</v>
      </c>
      <c r="D161" s="32" t="s">
        <v>44</v>
      </c>
      <c r="E161" s="32"/>
      <c r="F161" s="32" t="s">
        <v>170</v>
      </c>
      <c r="G161" s="32" t="s">
        <v>171</v>
      </c>
      <c r="H161" s="32" t="s">
        <v>172</v>
      </c>
      <c r="I161" s="32" t="s">
        <v>173</v>
      </c>
      <c r="J161" s="32" t="s">
        <v>158</v>
      </c>
    </row>
    <row r="162" spans="2:10">
      <c r="B162" s="33" t="s">
        <v>174</v>
      </c>
      <c r="C162" s="34" t="s">
        <v>175</v>
      </c>
      <c r="D162" s="34" t="s">
        <v>77</v>
      </c>
      <c r="E162" s="34"/>
      <c r="F162" s="36">
        <v>3460167</v>
      </c>
      <c r="G162" s="36">
        <v>3068500</v>
      </c>
      <c r="H162" s="44">
        <v>-11.31930915473155</v>
      </c>
      <c r="I162" s="37"/>
      <c r="J162" s="37"/>
    </row>
    <row r="163" spans="2:10">
      <c r="B163" s="33" t="s">
        <v>174</v>
      </c>
      <c r="C163" s="34" t="s">
        <v>175</v>
      </c>
      <c r="D163" s="34" t="s">
        <v>78</v>
      </c>
      <c r="E163" s="34"/>
      <c r="F163" s="36">
        <v>1889758</v>
      </c>
      <c r="G163" s="36">
        <v>1474230</v>
      </c>
      <c r="H163" s="44">
        <v>-21.98842391459647</v>
      </c>
      <c r="I163" s="37"/>
      <c r="J163" s="37"/>
    </row>
    <row r="164" spans="2:10">
      <c r="B164" s="33" t="s">
        <v>174</v>
      </c>
      <c r="C164" s="34" t="s">
        <v>175</v>
      </c>
      <c r="D164" s="34" t="s">
        <v>79</v>
      </c>
      <c r="E164" s="34"/>
      <c r="F164" s="36">
        <v>1834699</v>
      </c>
      <c r="G164" s="36">
        <v>1480700</v>
      </c>
      <c r="H164" s="44">
        <v>-19.29466359331967</v>
      </c>
      <c r="I164" s="37"/>
      <c r="J164" s="37"/>
    </row>
    <row r="165" spans="2:10">
      <c r="B165" s="33" t="s">
        <v>174</v>
      </c>
      <c r="C165" s="34" t="s">
        <v>175</v>
      </c>
      <c r="D165" s="34" t="s">
        <v>80</v>
      </c>
      <c r="E165" s="34"/>
      <c r="F165" s="36">
        <v>1371609</v>
      </c>
      <c r="G165" s="36">
        <v>1062750</v>
      </c>
      <c r="H165" s="44">
        <v>-22.51800622480605</v>
      </c>
      <c r="I165" s="37"/>
      <c r="J165" s="37"/>
    </row>
    <row r="166" spans="2:10">
      <c r="B166" s="33" t="s">
        <v>174</v>
      </c>
      <c r="C166" s="34" t="s">
        <v>175</v>
      </c>
      <c r="D166" s="34" t="s">
        <v>81</v>
      </c>
      <c r="E166" s="34"/>
      <c r="F166" s="36">
        <v>1216559</v>
      </c>
      <c r="G166" s="36">
        <v>800800</v>
      </c>
      <c r="H166" s="44">
        <v>-34.17499685588615</v>
      </c>
      <c r="I166" s="37"/>
      <c r="J166" s="37"/>
    </row>
    <row r="167" spans="2:10">
      <c r="B167" s="33" t="s">
        <v>174</v>
      </c>
      <c r="C167" s="34" t="s">
        <v>175</v>
      </c>
      <c r="D167" s="34" t="s">
        <v>82</v>
      </c>
      <c r="E167" s="34"/>
      <c r="F167" s="36">
        <v>1502229</v>
      </c>
      <c r="G167" s="36">
        <v>796180</v>
      </c>
      <c r="H167" s="44">
        <v>-47.00009119781338</v>
      </c>
      <c r="I167" s="37"/>
      <c r="J167" s="37"/>
    </row>
    <row r="168" spans="2:10">
      <c r="B168" s="33" t="s">
        <v>174</v>
      </c>
      <c r="C168" s="34" t="s">
        <v>175</v>
      </c>
      <c r="D168" s="34" t="s">
        <v>83</v>
      </c>
      <c r="E168" s="34"/>
      <c r="F168" s="36">
        <v>1057200</v>
      </c>
      <c r="G168" s="36">
        <v>785000</v>
      </c>
      <c r="H168" s="44">
        <v>-25.74725690503216</v>
      </c>
      <c r="I168" s="37"/>
      <c r="J168" s="37"/>
    </row>
    <row r="169" spans="2:10">
      <c r="B169" s="33" t="s">
        <v>174</v>
      </c>
      <c r="C169" s="34" t="s">
        <v>175</v>
      </c>
      <c r="D169" s="34" t="s">
        <v>84</v>
      </c>
      <c r="E169" s="34"/>
      <c r="F169" s="36">
        <v>938346</v>
      </c>
      <c r="G169" s="36">
        <v>753880</v>
      </c>
      <c r="H169" s="44">
        <v>-19.6586333825689</v>
      </c>
      <c r="I169" s="37"/>
      <c r="J169" s="37"/>
    </row>
    <row r="170" spans="2:10">
      <c r="B170" s="33" t="s">
        <v>174</v>
      </c>
      <c r="C170" s="34" t="s">
        <v>175</v>
      </c>
      <c r="D170" s="34" t="s">
        <v>85</v>
      </c>
      <c r="E170" s="34"/>
      <c r="F170" s="36">
        <v>1192013</v>
      </c>
      <c r="G170" s="36">
        <v>679830</v>
      </c>
      <c r="H170" s="44">
        <v>-42.96790387353158</v>
      </c>
      <c r="I170" s="37"/>
      <c r="J170" s="37"/>
    </row>
    <row r="171" spans="2:10">
      <c r="B171" s="33" t="s">
        <v>174</v>
      </c>
      <c r="C171" s="34" t="s">
        <v>175</v>
      </c>
      <c r="D171" s="34" t="s">
        <v>86</v>
      </c>
      <c r="E171" s="34"/>
      <c r="F171" s="36">
        <v>773299</v>
      </c>
      <c r="G171" s="36">
        <v>661250</v>
      </c>
      <c r="H171" s="44">
        <v>-14.48973812199421</v>
      </c>
      <c r="I171" s="37"/>
      <c r="J171" s="37"/>
    </row>
    <row r="172" spans="2:10">
      <c r="B172" s="33" t="s">
        <v>174</v>
      </c>
      <c r="C172" s="34" t="s">
        <v>175</v>
      </c>
      <c r="D172" s="34" t="s">
        <v>87</v>
      </c>
      <c r="E172" s="34"/>
      <c r="F172" s="36">
        <v>874829</v>
      </c>
      <c r="G172" s="36">
        <v>575660</v>
      </c>
      <c r="H172" s="44">
        <v>-34.19742601125477</v>
      </c>
      <c r="I172" s="37"/>
      <c r="J172" s="37"/>
    </row>
    <row r="173" spans="2:10">
      <c r="B173" s="33" t="s">
        <v>174</v>
      </c>
      <c r="C173" s="34" t="s">
        <v>175</v>
      </c>
      <c r="D173" s="34" t="s">
        <v>88</v>
      </c>
      <c r="E173" s="34"/>
      <c r="F173" s="36">
        <v>842039</v>
      </c>
      <c r="G173" s="36">
        <v>557380</v>
      </c>
      <c r="H173" s="44">
        <v>-33.80591635304303</v>
      </c>
      <c r="I173" s="37"/>
      <c r="J173" s="37"/>
    </row>
    <row r="174" spans="2:10">
      <c r="B174" s="33" t="s">
        <v>174</v>
      </c>
      <c r="C174" s="34" t="s">
        <v>175</v>
      </c>
      <c r="D174" s="34" t="s">
        <v>89</v>
      </c>
      <c r="E174" s="34"/>
      <c r="F174" s="36">
        <v>947700</v>
      </c>
      <c r="G174" s="36">
        <v>520500</v>
      </c>
      <c r="H174" s="44">
        <v>-45.0775561886673</v>
      </c>
      <c r="I174" s="37"/>
      <c r="J174" s="37"/>
    </row>
    <row r="175" spans="2:10">
      <c r="B175" s="33" t="s">
        <v>174</v>
      </c>
      <c r="C175" s="34" t="s">
        <v>175</v>
      </c>
      <c r="D175" s="34" t="s">
        <v>90</v>
      </c>
      <c r="E175" s="34"/>
      <c r="F175" s="36">
        <v>696589</v>
      </c>
      <c r="G175" s="36">
        <v>505080</v>
      </c>
      <c r="H175" s="44">
        <v>-27.49239508519371</v>
      </c>
      <c r="I175" s="37"/>
      <c r="J175" s="37"/>
    </row>
    <row r="176" spans="2:10">
      <c r="B176" s="33" t="s">
        <v>174</v>
      </c>
      <c r="C176" s="34" t="s">
        <v>175</v>
      </c>
      <c r="D176" s="34" t="s">
        <v>91</v>
      </c>
      <c r="E176" s="34"/>
      <c r="F176" s="36">
        <v>1092150</v>
      </c>
      <c r="G176" s="36">
        <v>429500</v>
      </c>
      <c r="H176" s="44">
        <v>-60.67390010529689</v>
      </c>
      <c r="I176" s="37"/>
      <c r="J176" s="37"/>
    </row>
    <row r="177" spans="2:10">
      <c r="B177" s="33" t="s">
        <v>174</v>
      </c>
      <c r="C177" s="34" t="s">
        <v>175</v>
      </c>
      <c r="D177" s="34" t="s">
        <v>92</v>
      </c>
      <c r="E177" s="34"/>
      <c r="F177" s="36">
        <v>899549</v>
      </c>
      <c r="G177" s="36">
        <v>418950</v>
      </c>
      <c r="H177" s="44">
        <v>-53.42666158263752</v>
      </c>
      <c r="I177" s="37"/>
      <c r="J177" s="37"/>
    </row>
    <row r="178" spans="2:10">
      <c r="B178" s="33" t="s">
        <v>174</v>
      </c>
      <c r="C178" s="34" t="s">
        <v>175</v>
      </c>
      <c r="D178" s="34" t="s">
        <v>93</v>
      </c>
      <c r="E178" s="34"/>
      <c r="F178" s="36">
        <v>464500</v>
      </c>
      <c r="G178" s="36">
        <v>403000</v>
      </c>
      <c r="H178" s="44">
        <v>-13.24004305705059</v>
      </c>
      <c r="I178" s="37"/>
      <c r="J178" s="37"/>
    </row>
    <row r="179" spans="2:10">
      <c r="B179" s="33" t="s">
        <v>174</v>
      </c>
      <c r="C179" s="34" t="s">
        <v>175</v>
      </c>
      <c r="D179" s="34" t="s">
        <v>94</v>
      </c>
      <c r="E179" s="34"/>
      <c r="F179" s="36">
        <v>611499</v>
      </c>
      <c r="G179" s="36">
        <v>394800</v>
      </c>
      <c r="H179" s="44">
        <v>-35.4373433153611</v>
      </c>
      <c r="I179" s="37"/>
      <c r="J179" s="37"/>
    </row>
    <row r="180" spans="2:10">
      <c r="B180" s="33" t="s">
        <v>174</v>
      </c>
      <c r="C180" s="34" t="s">
        <v>175</v>
      </c>
      <c r="D180" s="34" t="s">
        <v>95</v>
      </c>
      <c r="E180" s="34"/>
      <c r="F180" s="36">
        <v>370750</v>
      </c>
      <c r="G180" s="36">
        <v>354000</v>
      </c>
      <c r="H180" s="44">
        <v>-4.517869184086312</v>
      </c>
      <c r="I180" s="37"/>
      <c r="J180" s="37"/>
    </row>
    <row r="181" spans="2:10">
      <c r="B181" s="33" t="s">
        <v>174</v>
      </c>
      <c r="C181" s="34" t="s">
        <v>175</v>
      </c>
      <c r="D181" s="34" t="s">
        <v>96</v>
      </c>
      <c r="E181" s="34"/>
      <c r="F181" s="36">
        <v>376000</v>
      </c>
      <c r="G181" s="36">
        <v>326500</v>
      </c>
      <c r="H181" s="44">
        <v>-13.16489361702128</v>
      </c>
      <c r="I181" s="37"/>
      <c r="J181" s="37"/>
    </row>
    <row r="182" spans="2:10">
      <c r="B182" s="33" t="s">
        <v>174</v>
      </c>
      <c r="C182" s="34" t="s">
        <v>175</v>
      </c>
      <c r="D182" s="34" t="s">
        <v>97</v>
      </c>
      <c r="E182" s="34"/>
      <c r="F182" s="36">
        <v>461729</v>
      </c>
      <c r="G182" s="36">
        <v>313600</v>
      </c>
      <c r="H182" s="44">
        <v>-32.08137240675808</v>
      </c>
      <c r="I182" s="37"/>
      <c r="J182" s="37"/>
    </row>
    <row r="183" spans="2:10">
      <c r="B183" s="33" t="s">
        <v>174</v>
      </c>
      <c r="C183" s="34" t="s">
        <v>175</v>
      </c>
      <c r="D183" s="34" t="s">
        <v>98</v>
      </c>
      <c r="E183" s="34"/>
      <c r="F183" s="36">
        <v>459700</v>
      </c>
      <c r="G183" s="36">
        <v>312800</v>
      </c>
      <c r="H183" s="44">
        <v>-31.95562323254296</v>
      </c>
      <c r="I183" s="37"/>
      <c r="J183" s="37"/>
    </row>
    <row r="184" spans="2:10">
      <c r="B184" s="33" t="s">
        <v>174</v>
      </c>
      <c r="C184" s="34" t="s">
        <v>175</v>
      </c>
      <c r="D184" s="34" t="s">
        <v>99</v>
      </c>
      <c r="E184" s="34"/>
      <c r="F184" s="36">
        <v>579509</v>
      </c>
      <c r="G184" s="36">
        <v>284580</v>
      </c>
      <c r="H184" s="44">
        <v>-50.89291106781776</v>
      </c>
      <c r="I184" s="37"/>
      <c r="J184" s="37"/>
    </row>
    <row r="185" spans="2:10">
      <c r="B185" s="33" t="s">
        <v>174</v>
      </c>
      <c r="C185" s="34" t="s">
        <v>175</v>
      </c>
      <c r="D185" s="34" t="s">
        <v>100</v>
      </c>
      <c r="E185" s="34"/>
      <c r="F185" s="36">
        <v>259927</v>
      </c>
      <c r="G185" s="36">
        <v>277141.998</v>
      </c>
      <c r="H185" s="44">
        <v>6.623012615080397</v>
      </c>
      <c r="I185" s="37"/>
      <c r="J185" s="37"/>
    </row>
    <row r="186" spans="2:10">
      <c r="B186" s="33" t="s">
        <v>174</v>
      </c>
      <c r="C186" s="34" t="s">
        <v>175</v>
      </c>
      <c r="D186" s="34" t="s">
        <v>101</v>
      </c>
      <c r="E186" s="34"/>
      <c r="F186" s="36">
        <v>457920</v>
      </c>
      <c r="G186" s="36">
        <v>241440</v>
      </c>
      <c r="H186" s="44">
        <v>-47.27463312368972</v>
      </c>
      <c r="I186" s="37"/>
      <c r="J186" s="37"/>
    </row>
    <row r="187" spans="2:10">
      <c r="B187" s="33" t="s">
        <v>174</v>
      </c>
      <c r="C187" s="34" t="s">
        <v>175</v>
      </c>
      <c r="D187" s="34" t="s">
        <v>102</v>
      </c>
      <c r="E187" s="34"/>
      <c r="F187" s="36">
        <v>356160</v>
      </c>
      <c r="G187" s="36">
        <v>237440</v>
      </c>
      <c r="H187" s="44">
        <v>-33.33333333333334</v>
      </c>
      <c r="I187" s="37"/>
      <c r="J187" s="37"/>
    </row>
    <row r="188" spans="2:10">
      <c r="B188" s="33" t="s">
        <v>174</v>
      </c>
      <c r="C188" s="34" t="s">
        <v>175</v>
      </c>
      <c r="D188" s="34" t="s">
        <v>103</v>
      </c>
      <c r="E188" s="34"/>
      <c r="F188" s="36">
        <v>573679</v>
      </c>
      <c r="G188" s="36">
        <v>231920</v>
      </c>
      <c r="H188" s="44">
        <v>-59.57321080255683</v>
      </c>
      <c r="I188" s="37"/>
      <c r="J188" s="37"/>
    </row>
    <row r="189" spans="2:10">
      <c r="B189" s="33" t="s">
        <v>174</v>
      </c>
      <c r="C189" s="34" t="s">
        <v>175</v>
      </c>
      <c r="D189" s="34" t="s">
        <v>104</v>
      </c>
      <c r="E189" s="34"/>
      <c r="F189" s="36">
        <v>371400</v>
      </c>
      <c r="G189" s="36">
        <v>214800</v>
      </c>
      <c r="H189" s="44">
        <v>-42.16478190630048</v>
      </c>
      <c r="I189" s="37"/>
      <c r="J189" s="37"/>
    </row>
    <row r="190" spans="2:10">
      <c r="B190" s="33" t="s">
        <v>174</v>
      </c>
      <c r="C190" s="34" t="s">
        <v>175</v>
      </c>
      <c r="D190" s="34" t="s">
        <v>105</v>
      </c>
      <c r="E190" s="34"/>
      <c r="F190" s="36">
        <v>408750</v>
      </c>
      <c r="G190" s="36">
        <v>212000</v>
      </c>
      <c r="H190" s="44">
        <v>-48.13455657492355</v>
      </c>
      <c r="I190" s="37"/>
      <c r="J190" s="37"/>
    </row>
    <row r="191" spans="2:10">
      <c r="B191" s="33" t="s">
        <v>174</v>
      </c>
      <c r="C191" s="34" t="s">
        <v>175</v>
      </c>
      <c r="D191" s="34" t="s">
        <v>106</v>
      </c>
      <c r="E191" s="34"/>
      <c r="F191" s="36">
        <v>201600</v>
      </c>
      <c r="G191" s="36">
        <v>192150</v>
      </c>
      <c r="H191" s="44">
        <v>-4.6875</v>
      </c>
      <c r="I191" s="37"/>
      <c r="J191" s="37"/>
    </row>
    <row r="192" spans="2:10">
      <c r="B192" s="33" t="s">
        <v>174</v>
      </c>
      <c r="C192" s="34" t="s">
        <v>175</v>
      </c>
      <c r="D192" s="34" t="s">
        <v>107</v>
      </c>
      <c r="E192" s="34"/>
      <c r="F192" s="36">
        <v>202950</v>
      </c>
      <c r="G192" s="36">
        <v>187800</v>
      </c>
      <c r="H192" s="44">
        <v>-7.464892830746489</v>
      </c>
      <c r="I192" s="37"/>
      <c r="J192" s="37"/>
    </row>
    <row r="193" spans="2:10">
      <c r="B193" s="33" t="s">
        <v>174</v>
      </c>
      <c r="C193" s="34" t="s">
        <v>175</v>
      </c>
      <c r="D193" s="34" t="s">
        <v>108</v>
      </c>
      <c r="E193" s="34"/>
      <c r="F193" s="36">
        <v>455999</v>
      </c>
      <c r="G193" s="36">
        <v>156060</v>
      </c>
      <c r="H193" s="44">
        <v>-65.77624073737003</v>
      </c>
      <c r="I193" s="37"/>
      <c r="J193" s="37"/>
    </row>
    <row r="194" spans="2:10">
      <c r="B194" s="33" t="s">
        <v>174</v>
      </c>
      <c r="C194" s="34" t="s">
        <v>175</v>
      </c>
      <c r="D194" s="34" t="s">
        <v>109</v>
      </c>
      <c r="E194" s="34"/>
      <c r="F194" s="36">
        <v>287760</v>
      </c>
      <c r="G194" s="36">
        <v>139920</v>
      </c>
      <c r="H194" s="44">
        <v>-51.37614678899082</v>
      </c>
      <c r="I194" s="37"/>
      <c r="J194" s="37"/>
    </row>
    <row r="195" spans="2:10">
      <c r="B195" s="33" t="s">
        <v>174</v>
      </c>
      <c r="C195" s="34" t="s">
        <v>175</v>
      </c>
      <c r="D195" s="34" t="s">
        <v>110</v>
      </c>
      <c r="E195" s="34"/>
      <c r="F195" s="36">
        <v>128000</v>
      </c>
      <c r="G195" s="36">
        <v>130700</v>
      </c>
      <c r="H195" s="44">
        <v>2.109375</v>
      </c>
      <c r="I195" s="37"/>
      <c r="J195" s="37"/>
    </row>
    <row r="196" spans="2:10">
      <c r="B196" s="33" t="s">
        <v>174</v>
      </c>
      <c r="C196" s="34" t="s">
        <v>175</v>
      </c>
      <c r="D196" s="34" t="s">
        <v>111</v>
      </c>
      <c r="E196" s="34"/>
      <c r="F196" s="36">
        <v>144600</v>
      </c>
      <c r="G196" s="36">
        <v>129200</v>
      </c>
      <c r="H196" s="44">
        <v>-10.65006915629322</v>
      </c>
      <c r="I196" s="37"/>
      <c r="J196" s="37"/>
    </row>
    <row r="197" spans="2:10">
      <c r="B197" s="33" t="s">
        <v>174</v>
      </c>
      <c r="C197" s="34" t="s">
        <v>175</v>
      </c>
      <c r="D197" s="34" t="s">
        <v>112</v>
      </c>
      <c r="E197" s="34"/>
      <c r="F197" s="36">
        <v>206500</v>
      </c>
      <c r="G197" s="36">
        <v>116300</v>
      </c>
      <c r="H197" s="44">
        <v>-43.68038740920097</v>
      </c>
      <c r="I197" s="37"/>
      <c r="J197" s="37"/>
    </row>
    <row r="198" spans="2:10">
      <c r="B198" s="33" t="s">
        <v>174</v>
      </c>
      <c r="C198" s="34" t="s">
        <v>175</v>
      </c>
      <c r="D198" s="34" t="s">
        <v>113</v>
      </c>
      <c r="E198" s="34"/>
      <c r="F198" s="36">
        <v>233374</v>
      </c>
      <c r="G198" s="36">
        <v>114000</v>
      </c>
      <c r="H198" s="44">
        <v>-51.15137076109593</v>
      </c>
      <c r="I198" s="37"/>
      <c r="J198" s="37"/>
    </row>
    <row r="199" spans="2:10">
      <c r="B199" s="33" t="s">
        <v>174</v>
      </c>
      <c r="C199" s="34" t="s">
        <v>175</v>
      </c>
      <c r="D199" s="34" t="s">
        <v>114</v>
      </c>
      <c r="E199" s="34"/>
      <c r="F199" s="36">
        <v>114600</v>
      </c>
      <c r="G199" s="36">
        <v>102000</v>
      </c>
      <c r="H199" s="44">
        <v>-10.99476439790576</v>
      </c>
      <c r="I199" s="37"/>
      <c r="J199" s="37"/>
    </row>
    <row r="200" spans="2:10">
      <c r="B200" s="33" t="s">
        <v>174</v>
      </c>
      <c r="C200" s="34" t="s">
        <v>175</v>
      </c>
      <c r="D200" s="34" t="s">
        <v>115</v>
      </c>
      <c r="E200" s="34"/>
      <c r="F200" s="36">
        <v>173400</v>
      </c>
      <c r="G200" s="36">
        <v>101600</v>
      </c>
      <c r="H200" s="44">
        <v>-41.40715109573241</v>
      </c>
      <c r="I200" s="37"/>
      <c r="J200" s="37"/>
    </row>
    <row r="201" spans="2:10">
      <c r="B201" s="33" t="s">
        <v>174</v>
      </c>
      <c r="C201" s="34" t="s">
        <v>175</v>
      </c>
      <c r="D201" s="34" t="s">
        <v>116</v>
      </c>
      <c r="E201" s="34"/>
      <c r="F201" s="36">
        <v>81279</v>
      </c>
      <c r="G201" s="36">
        <v>99000</v>
      </c>
      <c r="H201" s="44">
        <v>21.8026796589525</v>
      </c>
      <c r="I201" s="37"/>
      <c r="J201" s="37"/>
    </row>
    <row r="202" spans="2:10">
      <c r="B202" s="33" t="s">
        <v>174</v>
      </c>
      <c r="C202" s="34" t="s">
        <v>175</v>
      </c>
      <c r="D202" s="34" t="s">
        <v>117</v>
      </c>
      <c r="E202" s="34"/>
      <c r="F202" s="36">
        <v>170730</v>
      </c>
      <c r="G202" s="36">
        <v>67770</v>
      </c>
      <c r="H202" s="44">
        <v>-60.30574591460201</v>
      </c>
      <c r="I202" s="37"/>
      <c r="J202" s="37"/>
    </row>
    <row r="203" spans="2:10">
      <c r="B203" s="33" t="s">
        <v>174</v>
      </c>
      <c r="C203" s="34" t="s">
        <v>175</v>
      </c>
      <c r="D203" s="34" t="s">
        <v>118</v>
      </c>
      <c r="E203" s="34"/>
      <c r="F203" s="36">
        <v>58680</v>
      </c>
      <c r="G203" s="36">
        <v>52650</v>
      </c>
      <c r="H203" s="44">
        <v>-10.2760736196319</v>
      </c>
      <c r="I203" s="37"/>
      <c r="J203" s="37"/>
    </row>
    <row r="204" spans="2:10">
      <c r="B204" s="33" t="s">
        <v>174</v>
      </c>
      <c r="C204" s="34" t="s">
        <v>175</v>
      </c>
      <c r="D204" s="34" t="s">
        <v>119</v>
      </c>
      <c r="E204" s="34"/>
      <c r="F204" s="36">
        <v>96219</v>
      </c>
      <c r="G204" s="36">
        <v>16767</v>
      </c>
      <c r="H204" s="44">
        <v>-82.57412777102236</v>
      </c>
      <c r="I204" s="37"/>
      <c r="J204" s="37"/>
    </row>
    <row r="205" spans="2:10">
      <c r="B205" s="33" t="s">
        <v>174</v>
      </c>
      <c r="C205" s="34" t="s">
        <v>175</v>
      </c>
      <c r="D205" s="34" t="s">
        <v>120</v>
      </c>
      <c r="E205" s="34"/>
      <c r="F205" s="36">
        <v>4028</v>
      </c>
      <c r="G205" s="36">
        <v>4851.413532</v>
      </c>
      <c r="H205" s="44">
        <v>20.44224260178748</v>
      </c>
      <c r="I205" s="37"/>
      <c r="J205" s="37"/>
    </row>
    <row r="206" spans="2:10">
      <c r="B206" s="33" t="s">
        <v>174</v>
      </c>
      <c r="C206" s="34" t="s">
        <v>176</v>
      </c>
      <c r="D206" s="34" t="s">
        <v>121</v>
      </c>
      <c r="E206" s="34"/>
      <c r="F206" s="36">
        <v>1244139</v>
      </c>
      <c r="G206" s="36">
        <v>1419000</v>
      </c>
      <c r="H206" s="44">
        <v>14.05478005271115</v>
      </c>
      <c r="I206" s="37"/>
      <c r="J206" s="37"/>
    </row>
    <row r="207" spans="2:10">
      <c r="B207" s="33" t="s">
        <v>174</v>
      </c>
      <c r="C207" s="34" t="s">
        <v>176</v>
      </c>
      <c r="D207" s="34" t="s">
        <v>122</v>
      </c>
      <c r="E207" s="34"/>
      <c r="F207" s="36">
        <v>1189611</v>
      </c>
      <c r="G207" s="36">
        <v>1293329.324</v>
      </c>
      <c r="H207" s="44">
        <v>8.718675600679552</v>
      </c>
      <c r="I207" s="37"/>
      <c r="J207" s="37"/>
    </row>
    <row r="208" spans="2:10">
      <c r="B208" s="33" t="s">
        <v>174</v>
      </c>
      <c r="C208" s="34" t="s">
        <v>176</v>
      </c>
      <c r="D208" s="34" t="s">
        <v>120</v>
      </c>
      <c r="E208" s="34"/>
      <c r="F208" s="36">
        <v>1355824</v>
      </c>
      <c r="G208" s="36">
        <v>1212002.445066487</v>
      </c>
      <c r="H208" s="44">
        <v>-10.60768616970293</v>
      </c>
      <c r="I208" s="37"/>
      <c r="J208" s="37"/>
    </row>
    <row r="209" spans="2:10">
      <c r="B209" s="33" t="s">
        <v>174</v>
      </c>
      <c r="C209" s="34" t="s">
        <v>176</v>
      </c>
      <c r="D209" s="34" t="s">
        <v>123</v>
      </c>
      <c r="E209" s="34"/>
      <c r="F209" s="36">
        <v>192590</v>
      </c>
      <c r="G209" s="36">
        <v>117414.602</v>
      </c>
      <c r="H209" s="44">
        <v>-39.03390518718521</v>
      </c>
      <c r="I209" s="37"/>
      <c r="J209" s="37"/>
    </row>
    <row r="210" spans="2:10">
      <c r="B210" s="33" t="s">
        <v>174</v>
      </c>
      <c r="C210" s="34" t="s">
        <v>177</v>
      </c>
      <c r="D210" s="34" t="s">
        <v>124</v>
      </c>
      <c r="E210" s="34"/>
      <c r="F210" s="36">
        <v>83000</v>
      </c>
      <c r="G210" s="36">
        <v>55500</v>
      </c>
      <c r="H210" s="44">
        <v>-33.13253012048193</v>
      </c>
      <c r="I210" s="37"/>
      <c r="J210" s="37"/>
    </row>
    <row r="211" spans="2:10">
      <c r="B211" s="33" t="s">
        <v>174</v>
      </c>
      <c r="C211" s="34" t="s">
        <v>178</v>
      </c>
      <c r="D211" s="34" t="s">
        <v>125</v>
      </c>
      <c r="E211" s="34"/>
      <c r="F211" s="36">
        <v>1399</v>
      </c>
      <c r="G211" s="36">
        <v>1352.7032896</v>
      </c>
      <c r="H211" s="44">
        <v>-3.309271651179409</v>
      </c>
      <c r="I211" s="37"/>
      <c r="J211" s="37"/>
    </row>
    <row r="212" spans="2:10">
      <c r="B212" s="45" t="s">
        <v>13</v>
      </c>
      <c r="C212" s="39"/>
      <c r="D212" s="39" t="s">
        <v>179</v>
      </c>
      <c r="E212" s="39"/>
      <c r="F212" s="39" t="s">
        <v>180</v>
      </c>
      <c r="G212" s="39" t="s">
        <v>181</v>
      </c>
      <c r="H212" s="39" t="s">
        <v>182</v>
      </c>
      <c r="I212" s="39"/>
      <c r="J212" s="40"/>
    </row>
    <row r="213" spans="2:10">
      <c r="B213" s="45"/>
      <c r="C213" s="41"/>
      <c r="D213" s="41" t="s">
        <v>183</v>
      </c>
      <c r="E213" s="41"/>
      <c r="F213" s="42">
        <f>SUM(F162:F211)</f>
        <v>0</v>
      </c>
      <c r="G213" s="42">
        <f>SUM(G162:G211)</f>
        <v>0</v>
      </c>
      <c r="H213" s="46">
        <f>(SUM(G162:G211) - SUM(F162:F211)) * 100 / IF(SUM(F162:F211), SUM(F162:F211), 1)</f>
        <v>0</v>
      </c>
      <c r="I213" s="41"/>
      <c r="J213" s="43"/>
    </row>
    <row r="215" spans="2:10">
      <c r="B215" s="1" t="s">
        <v>184</v>
      </c>
    </row>
    <row r="216" spans="2:10">
      <c r="B216" t="s">
        <v>185</v>
      </c>
    </row>
    <row r="217" spans="2:10">
      <c r="B217" s="47" t="s">
        <v>186</v>
      </c>
      <c r="C217" s="48" t="s">
        <v>153</v>
      </c>
      <c r="D217" s="48" t="s">
        <v>44</v>
      </c>
      <c r="E217" s="48"/>
      <c r="F217" s="48" t="s">
        <v>187</v>
      </c>
      <c r="G217" s="48" t="s">
        <v>188</v>
      </c>
      <c r="H217" s="48" t="s">
        <v>189</v>
      </c>
      <c r="I217" s="48" t="s">
        <v>190</v>
      </c>
      <c r="J217" s="48" t="s">
        <v>191</v>
      </c>
    </row>
    <row r="218" spans="2:10">
      <c r="B218" s="33"/>
      <c r="C218" s="34"/>
      <c r="D218" s="34"/>
      <c r="E218" s="34"/>
      <c r="F218" s="34"/>
      <c r="G218" s="34"/>
      <c r="H218" s="34"/>
      <c r="I218" s="34"/>
      <c r="J218" s="34"/>
    </row>
    <row r="219" spans="2:10">
      <c r="B219" s="45" t="s">
        <v>13</v>
      </c>
      <c r="C219" s="39"/>
      <c r="D219" s="39" t="s">
        <v>192</v>
      </c>
      <c r="E219" s="39"/>
      <c r="F219" s="39" t="s">
        <v>193</v>
      </c>
      <c r="G219" s="39" t="s">
        <v>194</v>
      </c>
      <c r="H219" s="39"/>
      <c r="I219" s="39"/>
      <c r="J219" s="40"/>
    </row>
    <row r="220" spans="2:10">
      <c r="B220" s="45"/>
      <c r="C220" s="41"/>
      <c r="D220" s="42">
        <f>SUM(0)</f>
        <v>0</v>
      </c>
      <c r="E220" s="42"/>
      <c r="F220" s="42">
        <f>SUM(F218)</f>
        <v>0</v>
      </c>
      <c r="G220" s="42">
        <f>SUM(G218)</f>
        <v>0</v>
      </c>
      <c r="H220" s="41"/>
      <c r="I220" s="41"/>
      <c r="J220" s="43"/>
    </row>
  </sheetData>
  <mergeCells count="286">
    <mergeCell ref="F5:G5"/>
    <mergeCell ref="F6:G6"/>
    <mergeCell ref="B39:E39"/>
    <mergeCell ref="F39:I39"/>
    <mergeCell ref="C40:D40"/>
    <mergeCell ref="G40:H40"/>
    <mergeCell ref="B41:B5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B67"/>
    <mergeCell ref="C63:D63"/>
    <mergeCell ref="C64:D64"/>
    <mergeCell ref="C65:D65"/>
    <mergeCell ref="C66:D66"/>
    <mergeCell ref="C67:D67"/>
    <mergeCell ref="B68:B130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B134:B139"/>
    <mergeCell ref="C134:D134"/>
    <mergeCell ref="C135:D135"/>
    <mergeCell ref="C136:D136"/>
    <mergeCell ref="C137:D137"/>
    <mergeCell ref="C138:D138"/>
    <mergeCell ref="C139:D139"/>
    <mergeCell ref="B140:B141"/>
    <mergeCell ref="C140:D140"/>
    <mergeCell ref="C141:D14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B142:D142"/>
    <mergeCell ref="F142:H142"/>
    <mergeCell ref="B143:I143"/>
    <mergeCell ref="B144:I144"/>
    <mergeCell ref="C149:D149"/>
    <mergeCell ref="C150:D150"/>
    <mergeCell ref="C151:D151"/>
    <mergeCell ref="C152:D152"/>
    <mergeCell ref="C153:D153"/>
    <mergeCell ref="C154:D154"/>
    <mergeCell ref="C155:D155"/>
    <mergeCell ref="B156:B157"/>
    <mergeCell ref="C156:D156"/>
    <mergeCell ref="C157:D157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B212:B213"/>
    <mergeCell ref="D212:E212"/>
    <mergeCell ref="D213:E213"/>
    <mergeCell ref="D217:E217"/>
    <mergeCell ref="D218:E218"/>
    <mergeCell ref="B219:B220"/>
    <mergeCell ref="D219:E219"/>
    <mergeCell ref="D220:E2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6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195</v>
      </c>
      <c r="B1" s="49" t="s">
        <v>196</v>
      </c>
      <c r="C1" s="49" t="s">
        <v>197</v>
      </c>
      <c r="D1" s="49" t="s">
        <v>198</v>
      </c>
      <c r="E1" s="49" t="s">
        <v>199</v>
      </c>
      <c r="F1" s="49" t="s">
        <v>200</v>
      </c>
      <c r="G1" s="49" t="s">
        <v>45</v>
      </c>
      <c r="H1" s="49" t="s">
        <v>201</v>
      </c>
      <c r="I1" s="49" t="s">
        <v>202</v>
      </c>
      <c r="J1" s="49" t="s">
        <v>203</v>
      </c>
    </row>
    <row r="2" spans="1:10">
      <c r="A2" s="50">
        <v>46281</v>
      </c>
      <c r="B2" s="51">
        <v>0.6005555555555555</v>
      </c>
      <c r="C2" t="s">
        <v>204</v>
      </c>
      <c r="D2" t="s">
        <v>204</v>
      </c>
      <c r="E2" t="s">
        <v>205</v>
      </c>
      <c r="F2" t="s">
        <v>206</v>
      </c>
      <c r="G2">
        <v>32000</v>
      </c>
      <c r="H2" t="s">
        <v>207</v>
      </c>
      <c r="I2" t="s">
        <v>208</v>
      </c>
    </row>
    <row r="3" spans="1:10">
      <c r="A3" s="50">
        <v>46281</v>
      </c>
      <c r="B3" s="51">
        <v>0.5933680555555556</v>
      </c>
      <c r="C3" t="s">
        <v>209</v>
      </c>
      <c r="D3" t="s">
        <v>26</v>
      </c>
      <c r="E3" t="s">
        <v>210</v>
      </c>
      <c r="F3" t="s">
        <v>211</v>
      </c>
      <c r="G3">
        <v>-32000</v>
      </c>
      <c r="H3" t="s">
        <v>207</v>
      </c>
      <c r="I3" t="s">
        <v>212</v>
      </c>
    </row>
    <row r="4" spans="1:10">
      <c r="A4" s="50">
        <v>46281</v>
      </c>
      <c r="B4" s="51">
        <v>0.4194328703703704</v>
      </c>
      <c r="C4" t="s">
        <v>213</v>
      </c>
      <c r="D4" t="s">
        <v>21</v>
      </c>
      <c r="E4" t="s">
        <v>205</v>
      </c>
      <c r="F4" t="s">
        <v>214</v>
      </c>
      <c r="G4">
        <v>406</v>
      </c>
      <c r="H4" t="s">
        <v>207</v>
      </c>
      <c r="I4" t="s">
        <v>47</v>
      </c>
    </row>
    <row r="5" spans="1:10">
      <c r="A5" s="50">
        <v>46281</v>
      </c>
      <c r="B5" s="51">
        <v>0.3712962962962963</v>
      </c>
      <c r="C5" t="s">
        <v>209</v>
      </c>
      <c r="D5" t="s">
        <v>32</v>
      </c>
      <c r="E5" t="s">
        <v>215</v>
      </c>
      <c r="F5" t="s">
        <v>216</v>
      </c>
      <c r="G5">
        <v>16800</v>
      </c>
      <c r="H5" t="s">
        <v>207</v>
      </c>
      <c r="I5" t="s">
        <v>217</v>
      </c>
    </row>
    <row r="6" spans="1:10">
      <c r="A6" s="50">
        <v>46281</v>
      </c>
      <c r="B6" s="51">
        <v>0.3705555555555556</v>
      </c>
      <c r="C6" t="s">
        <v>209</v>
      </c>
      <c r="D6" t="s">
        <v>32</v>
      </c>
      <c r="E6" t="s">
        <v>215</v>
      </c>
      <c r="F6" t="s">
        <v>216</v>
      </c>
      <c r="G6">
        <v>-20800</v>
      </c>
      <c r="H6" t="s">
        <v>207</v>
      </c>
      <c r="I6" t="s">
        <v>217</v>
      </c>
    </row>
    <row r="7" spans="1:10">
      <c r="A7" s="50">
        <v>46281</v>
      </c>
      <c r="B7" s="51">
        <v>0.3700810185185185</v>
      </c>
      <c r="C7" t="s">
        <v>209</v>
      </c>
      <c r="D7" t="s">
        <v>32</v>
      </c>
      <c r="E7" t="s">
        <v>218</v>
      </c>
      <c r="F7" t="s">
        <v>219</v>
      </c>
      <c r="G7">
        <v>-11900</v>
      </c>
      <c r="H7" t="s">
        <v>207</v>
      </c>
      <c r="I7" t="s">
        <v>217</v>
      </c>
    </row>
    <row r="8" spans="1:10">
      <c r="A8" s="50">
        <v>46281</v>
      </c>
      <c r="B8" s="51">
        <v>0.3696643518518519</v>
      </c>
      <c r="C8" t="s">
        <v>209</v>
      </c>
      <c r="D8" t="s">
        <v>32</v>
      </c>
      <c r="E8" t="s">
        <v>215</v>
      </c>
      <c r="F8" t="s">
        <v>216</v>
      </c>
      <c r="G8">
        <v>-16800</v>
      </c>
      <c r="H8" t="s">
        <v>207</v>
      </c>
      <c r="I8" t="s">
        <v>217</v>
      </c>
    </row>
    <row r="9" spans="1:10">
      <c r="A9" s="50">
        <v>46281</v>
      </c>
      <c r="B9" s="51">
        <v>0.2956828703703704</v>
      </c>
      <c r="C9" t="s">
        <v>209</v>
      </c>
      <c r="D9" t="s">
        <v>32</v>
      </c>
      <c r="E9" t="s">
        <v>220</v>
      </c>
      <c r="F9" t="s">
        <v>221</v>
      </c>
      <c r="G9">
        <v>-10000</v>
      </c>
      <c r="H9" t="s">
        <v>207</v>
      </c>
      <c r="I9" t="s">
        <v>54</v>
      </c>
    </row>
    <row r="10" spans="1:10">
      <c r="A10" s="50">
        <v>46280</v>
      </c>
      <c r="B10" s="51">
        <v>0.9039814814814815</v>
      </c>
      <c r="C10" t="s">
        <v>204</v>
      </c>
      <c r="D10" t="s">
        <v>222</v>
      </c>
      <c r="E10" t="s">
        <v>205</v>
      </c>
      <c r="F10" t="s">
        <v>223</v>
      </c>
      <c r="G10">
        <v>-1125037</v>
      </c>
      <c r="H10" t="s">
        <v>207</v>
      </c>
      <c r="I10" t="s">
        <v>57</v>
      </c>
    </row>
    <row r="11" spans="1:10">
      <c r="A11" s="50">
        <v>46280</v>
      </c>
      <c r="B11" s="51">
        <v>0.8947337962962963</v>
      </c>
      <c r="C11" t="s">
        <v>209</v>
      </c>
      <c r="D11" t="s">
        <v>36</v>
      </c>
      <c r="E11" t="s">
        <v>224</v>
      </c>
      <c r="F11" t="s">
        <v>225</v>
      </c>
      <c r="G11">
        <v>-2000</v>
      </c>
      <c r="H11" t="s">
        <v>207</v>
      </c>
      <c r="I11" t="s">
        <v>226</v>
      </c>
    </row>
    <row r="12" spans="1:10">
      <c r="A12" s="50">
        <v>46280</v>
      </c>
      <c r="B12" s="51">
        <v>0.8685185185185185</v>
      </c>
      <c r="C12" t="s">
        <v>209</v>
      </c>
      <c r="D12" t="s">
        <v>30</v>
      </c>
      <c r="E12" t="s">
        <v>227</v>
      </c>
      <c r="F12" t="s">
        <v>228</v>
      </c>
      <c r="G12">
        <v>-8000</v>
      </c>
      <c r="H12" t="s">
        <v>207</v>
      </c>
      <c r="I12" t="s">
        <v>226</v>
      </c>
    </row>
    <row r="13" spans="1:10">
      <c r="A13" s="50">
        <v>46280</v>
      </c>
      <c r="B13" s="51">
        <v>0.6214351851851851</v>
      </c>
      <c r="C13" t="s">
        <v>209</v>
      </c>
      <c r="D13" t="s">
        <v>25</v>
      </c>
      <c r="E13" t="s">
        <v>229</v>
      </c>
      <c r="F13" t="s">
        <v>161</v>
      </c>
      <c r="G13">
        <v>-138340</v>
      </c>
      <c r="H13" t="s">
        <v>207</v>
      </c>
      <c r="I13" t="s">
        <v>230</v>
      </c>
    </row>
    <row r="14" spans="1:10">
      <c r="A14" s="50">
        <v>46280</v>
      </c>
      <c r="B14" s="51">
        <v>0.5024189814814815</v>
      </c>
      <c r="C14" t="s">
        <v>204</v>
      </c>
      <c r="D14" t="s">
        <v>204</v>
      </c>
      <c r="E14" t="s">
        <v>205</v>
      </c>
      <c r="F14" t="s">
        <v>206</v>
      </c>
      <c r="G14">
        <v>5900</v>
      </c>
      <c r="H14" t="s">
        <v>207</v>
      </c>
      <c r="I14" t="s">
        <v>208</v>
      </c>
    </row>
    <row r="15" spans="1:10">
      <c r="A15" s="50">
        <v>46280</v>
      </c>
      <c r="B15" s="51">
        <v>0.5010416666666667</v>
      </c>
      <c r="C15" t="s">
        <v>204</v>
      </c>
      <c r="D15" t="s">
        <v>204</v>
      </c>
      <c r="E15" t="s">
        <v>205</v>
      </c>
      <c r="F15" t="s">
        <v>231</v>
      </c>
      <c r="G15">
        <v>362577</v>
      </c>
      <c r="H15" t="s">
        <v>207</v>
      </c>
      <c r="I15" t="s">
        <v>47</v>
      </c>
    </row>
    <row r="16" spans="1:10">
      <c r="A16" s="50">
        <v>46280</v>
      </c>
      <c r="B16" s="51">
        <v>0.4842592592592593</v>
      </c>
      <c r="C16" t="s">
        <v>209</v>
      </c>
      <c r="D16" t="s">
        <v>25</v>
      </c>
      <c r="E16" t="s">
        <v>232</v>
      </c>
      <c r="F16" t="s">
        <v>233</v>
      </c>
      <c r="G16">
        <v>-4250</v>
      </c>
      <c r="H16" t="s">
        <v>207</v>
      </c>
      <c r="I16" t="s">
        <v>208</v>
      </c>
    </row>
    <row r="17" spans="1:9">
      <c r="A17" s="50">
        <v>46280</v>
      </c>
      <c r="B17" s="51">
        <v>0.4841087962962963</v>
      </c>
      <c r="C17" t="s">
        <v>213</v>
      </c>
      <c r="D17" t="s">
        <v>19</v>
      </c>
      <c r="E17" t="s">
        <v>205</v>
      </c>
      <c r="F17" t="s">
        <v>234</v>
      </c>
      <c r="G17">
        <v>1</v>
      </c>
      <c r="H17" t="s">
        <v>207</v>
      </c>
      <c r="I17" t="s">
        <v>208</v>
      </c>
    </row>
    <row r="18" spans="1:9">
      <c r="A18" s="50">
        <v>46280</v>
      </c>
      <c r="B18" s="51">
        <v>0.4831597222222222</v>
      </c>
      <c r="C18" t="s">
        <v>209</v>
      </c>
      <c r="D18" t="s">
        <v>32</v>
      </c>
      <c r="E18" t="s">
        <v>218</v>
      </c>
      <c r="F18" t="s">
        <v>235</v>
      </c>
      <c r="G18">
        <v>-11800</v>
      </c>
      <c r="H18" t="s">
        <v>207</v>
      </c>
      <c r="I18" t="s">
        <v>236</v>
      </c>
    </row>
    <row r="19" spans="1:9">
      <c r="A19" s="50">
        <v>46280</v>
      </c>
      <c r="B19" s="51">
        <v>0.3653587962962963</v>
      </c>
      <c r="C19" t="s">
        <v>204</v>
      </c>
      <c r="D19" t="s">
        <v>237</v>
      </c>
      <c r="E19" t="s">
        <v>205</v>
      </c>
      <c r="F19" t="s">
        <v>238</v>
      </c>
      <c r="G19">
        <v>1750000</v>
      </c>
      <c r="H19" t="s">
        <v>207</v>
      </c>
      <c r="I19" t="s">
        <v>58</v>
      </c>
    </row>
    <row r="20" spans="1:9">
      <c r="A20" s="50">
        <v>46280</v>
      </c>
      <c r="B20" s="51">
        <v>0.2958333333333333</v>
      </c>
      <c r="C20" t="s">
        <v>209</v>
      </c>
      <c r="D20" t="s">
        <v>32</v>
      </c>
      <c r="E20" t="s">
        <v>220</v>
      </c>
      <c r="F20" t="s">
        <v>221</v>
      </c>
      <c r="G20">
        <v>-10000</v>
      </c>
      <c r="H20" t="s">
        <v>207</v>
      </c>
      <c r="I20" t="s">
        <v>54</v>
      </c>
    </row>
    <row r="21" spans="1:9">
      <c r="A21" s="50">
        <v>46279</v>
      </c>
      <c r="B21" s="51">
        <v>0.9642013888888888</v>
      </c>
      <c r="C21" t="s">
        <v>204</v>
      </c>
      <c r="D21" t="s">
        <v>222</v>
      </c>
      <c r="E21" t="s">
        <v>205</v>
      </c>
      <c r="F21" t="s">
        <v>239</v>
      </c>
      <c r="G21">
        <v>-1563341</v>
      </c>
      <c r="H21" t="s">
        <v>207</v>
      </c>
      <c r="I21" t="s">
        <v>47</v>
      </c>
    </row>
    <row r="22" spans="1:9">
      <c r="A22" s="50">
        <v>46279</v>
      </c>
      <c r="B22" s="51">
        <v>0.9635532407407408</v>
      </c>
      <c r="C22" t="s">
        <v>204</v>
      </c>
      <c r="D22" t="s">
        <v>237</v>
      </c>
      <c r="E22" t="s">
        <v>205</v>
      </c>
      <c r="F22" t="s">
        <v>240</v>
      </c>
      <c r="G22">
        <v>1000000</v>
      </c>
      <c r="H22" t="s">
        <v>207</v>
      </c>
      <c r="I22" t="s">
        <v>57</v>
      </c>
    </row>
    <row r="23" spans="1:9">
      <c r="A23" s="50">
        <v>46279</v>
      </c>
      <c r="B23" s="51">
        <v>0.9632407407407407</v>
      </c>
      <c r="C23" t="s">
        <v>204</v>
      </c>
      <c r="D23" t="s">
        <v>241</v>
      </c>
      <c r="E23" t="s">
        <v>205</v>
      </c>
      <c r="F23" t="s">
        <v>242</v>
      </c>
      <c r="G23">
        <v>-487274</v>
      </c>
      <c r="H23" t="s">
        <v>207</v>
      </c>
      <c r="I23" t="s">
        <v>21</v>
      </c>
    </row>
    <row r="24" spans="1:9">
      <c r="A24" s="50">
        <v>46279</v>
      </c>
      <c r="B24" s="51">
        <v>0.9632407407407407</v>
      </c>
      <c r="C24" t="s">
        <v>204</v>
      </c>
      <c r="D24" t="s">
        <v>241</v>
      </c>
      <c r="E24" t="s">
        <v>205</v>
      </c>
      <c r="F24" t="s">
        <v>242</v>
      </c>
      <c r="G24">
        <v>487274</v>
      </c>
      <c r="H24" t="s">
        <v>207</v>
      </c>
      <c r="I24" t="s">
        <v>57</v>
      </c>
    </row>
    <row r="25" spans="1:9">
      <c r="A25" s="50">
        <v>46279</v>
      </c>
      <c r="B25" s="51">
        <v>0.9629513888888889</v>
      </c>
      <c r="C25" t="s">
        <v>204</v>
      </c>
      <c r="D25" t="s">
        <v>237</v>
      </c>
      <c r="E25" t="s">
        <v>205</v>
      </c>
      <c r="F25" t="s">
        <v>240</v>
      </c>
      <c r="G25">
        <v>1000000</v>
      </c>
      <c r="H25" t="s">
        <v>207</v>
      </c>
      <c r="I25" t="s">
        <v>47</v>
      </c>
    </row>
    <row r="26" spans="1:9">
      <c r="A26" s="50">
        <v>46279</v>
      </c>
      <c r="B26" s="51">
        <v>0.9577546296296297</v>
      </c>
      <c r="C26" t="s">
        <v>204</v>
      </c>
      <c r="D26" t="s">
        <v>222</v>
      </c>
      <c r="E26" t="s">
        <v>205</v>
      </c>
      <c r="F26" t="s">
        <v>243</v>
      </c>
      <c r="G26">
        <v>-1079716</v>
      </c>
      <c r="H26" t="s">
        <v>207</v>
      </c>
      <c r="I26" t="s">
        <v>47</v>
      </c>
    </row>
    <row r="27" spans="1:9">
      <c r="A27" s="50">
        <v>46279</v>
      </c>
      <c r="B27" s="51">
        <v>0.9554861111111111</v>
      </c>
      <c r="C27" t="s">
        <v>204</v>
      </c>
      <c r="D27" t="s">
        <v>241</v>
      </c>
      <c r="E27" t="s">
        <v>205</v>
      </c>
      <c r="F27" t="s">
        <v>7</v>
      </c>
      <c r="G27">
        <v>-563341</v>
      </c>
      <c r="H27" t="s">
        <v>207</v>
      </c>
      <c r="I27" t="s">
        <v>61</v>
      </c>
    </row>
    <row r="28" spans="1:9">
      <c r="A28" s="50">
        <v>46279</v>
      </c>
      <c r="B28" s="51">
        <v>0.9554861111111111</v>
      </c>
      <c r="C28" t="s">
        <v>204</v>
      </c>
      <c r="D28" t="s">
        <v>241</v>
      </c>
      <c r="E28" t="s">
        <v>205</v>
      </c>
      <c r="F28" t="s">
        <v>244</v>
      </c>
      <c r="G28">
        <v>563341</v>
      </c>
      <c r="H28" t="s">
        <v>207</v>
      </c>
      <c r="I28" t="s">
        <v>47</v>
      </c>
    </row>
    <row r="29" spans="1:9">
      <c r="A29" s="50">
        <v>46279</v>
      </c>
      <c r="B29" s="51">
        <v>0.9534953703703704</v>
      </c>
      <c r="C29" t="s">
        <v>204</v>
      </c>
      <c r="D29" t="s">
        <v>204</v>
      </c>
      <c r="E29" t="s">
        <v>205</v>
      </c>
      <c r="F29" t="s">
        <v>245</v>
      </c>
      <c r="G29">
        <v>505716</v>
      </c>
      <c r="H29" t="s">
        <v>207</v>
      </c>
      <c r="I29" t="s">
        <v>47</v>
      </c>
    </row>
    <row r="30" spans="1:9">
      <c r="A30" s="50">
        <v>46279</v>
      </c>
      <c r="B30" s="51">
        <v>0.9516898148148148</v>
      </c>
      <c r="C30" t="s">
        <v>204</v>
      </c>
      <c r="D30" t="s">
        <v>241</v>
      </c>
      <c r="E30" t="s">
        <v>205</v>
      </c>
      <c r="F30" t="s">
        <v>246</v>
      </c>
      <c r="G30">
        <v>-574000</v>
      </c>
      <c r="H30" t="s">
        <v>207</v>
      </c>
      <c r="I30" t="s">
        <v>21</v>
      </c>
    </row>
    <row r="31" spans="1:9">
      <c r="A31" s="50">
        <v>46279</v>
      </c>
      <c r="B31" s="51">
        <v>0.9516898148148148</v>
      </c>
      <c r="C31" t="s">
        <v>204</v>
      </c>
      <c r="D31" t="s">
        <v>241</v>
      </c>
      <c r="E31" t="s">
        <v>205</v>
      </c>
      <c r="F31" t="s">
        <v>246</v>
      </c>
      <c r="G31">
        <v>574000</v>
      </c>
      <c r="H31" t="s">
        <v>207</v>
      </c>
      <c r="I31" t="s">
        <v>47</v>
      </c>
    </row>
    <row r="32" spans="1:9">
      <c r="A32" s="50">
        <v>46279</v>
      </c>
      <c r="B32" s="51">
        <v>0.9504050925925925</v>
      </c>
      <c r="C32" t="s">
        <v>204</v>
      </c>
      <c r="D32" t="s">
        <v>222</v>
      </c>
      <c r="E32" t="s">
        <v>205</v>
      </c>
      <c r="F32" t="s">
        <v>247</v>
      </c>
      <c r="G32">
        <v>-102956</v>
      </c>
      <c r="H32" t="s">
        <v>207</v>
      </c>
      <c r="I32" t="s">
        <v>53</v>
      </c>
    </row>
    <row r="33" spans="1:9">
      <c r="A33" s="50">
        <v>46279</v>
      </c>
      <c r="B33" s="51">
        <v>0.950324074074074</v>
      </c>
      <c r="C33" t="s">
        <v>204</v>
      </c>
      <c r="D33" t="s">
        <v>204</v>
      </c>
      <c r="E33" t="s">
        <v>205</v>
      </c>
      <c r="F33" t="s">
        <v>248</v>
      </c>
      <c r="G33">
        <v>102957</v>
      </c>
      <c r="H33" t="s">
        <v>207</v>
      </c>
      <c r="I33" t="s">
        <v>53</v>
      </c>
    </row>
    <row r="34" spans="1:9">
      <c r="A34" s="50">
        <v>46279</v>
      </c>
      <c r="B34" s="51">
        <v>0.9279166666666666</v>
      </c>
      <c r="C34" t="s">
        <v>204</v>
      </c>
      <c r="D34" t="s">
        <v>222</v>
      </c>
      <c r="E34" t="s">
        <v>205</v>
      </c>
      <c r="F34" t="s">
        <v>223</v>
      </c>
      <c r="G34">
        <v>-362612</v>
      </c>
      <c r="H34" t="s">
        <v>207</v>
      </c>
      <c r="I34" t="s">
        <v>57</v>
      </c>
    </row>
    <row r="35" spans="1:9">
      <c r="A35" s="50">
        <v>46279</v>
      </c>
      <c r="B35" s="51">
        <v>0.8894675925925926</v>
      </c>
      <c r="C35" t="s">
        <v>209</v>
      </c>
      <c r="D35" t="s">
        <v>28</v>
      </c>
      <c r="E35" t="s">
        <v>249</v>
      </c>
      <c r="F35" t="s">
        <v>250</v>
      </c>
      <c r="G35">
        <v>-9160</v>
      </c>
      <c r="H35" t="s">
        <v>207</v>
      </c>
      <c r="I35" t="s">
        <v>212</v>
      </c>
    </row>
    <row r="36" spans="1:9">
      <c r="A36" s="50">
        <v>46279</v>
      </c>
      <c r="B36" s="51">
        <v>0.8891550925925926</v>
      </c>
      <c r="C36" t="s">
        <v>209</v>
      </c>
      <c r="D36" t="s">
        <v>28</v>
      </c>
      <c r="E36" t="s">
        <v>249</v>
      </c>
      <c r="F36" t="s">
        <v>250</v>
      </c>
      <c r="G36">
        <v>20930</v>
      </c>
      <c r="H36" t="s">
        <v>207</v>
      </c>
      <c r="I36" t="s">
        <v>212</v>
      </c>
    </row>
    <row r="37" spans="1:9">
      <c r="A37" s="50">
        <v>46279</v>
      </c>
      <c r="B37" s="51">
        <v>0.8763194444444444</v>
      </c>
      <c r="C37" t="s">
        <v>209</v>
      </c>
      <c r="D37" t="s">
        <v>35</v>
      </c>
      <c r="E37" t="s">
        <v>251</v>
      </c>
      <c r="F37" t="s">
        <v>252</v>
      </c>
      <c r="G37">
        <v>-5990</v>
      </c>
      <c r="H37" t="s">
        <v>207</v>
      </c>
      <c r="I37" t="s">
        <v>236</v>
      </c>
    </row>
    <row r="38" spans="1:9">
      <c r="A38" s="50">
        <v>46279</v>
      </c>
      <c r="B38" s="51">
        <v>0.7623263888888889</v>
      </c>
      <c r="C38" t="s">
        <v>209</v>
      </c>
      <c r="D38" t="s">
        <v>25</v>
      </c>
      <c r="E38" t="s">
        <v>253</v>
      </c>
      <c r="F38" t="s">
        <v>239</v>
      </c>
      <c r="G38">
        <v>-362577</v>
      </c>
      <c r="H38" t="s">
        <v>207</v>
      </c>
      <c r="I38" t="s">
        <v>47</v>
      </c>
    </row>
    <row r="39" spans="1:9">
      <c r="A39" s="50">
        <v>46279</v>
      </c>
      <c r="B39" s="51">
        <v>0.7357870370370371</v>
      </c>
      <c r="C39" t="s">
        <v>209</v>
      </c>
      <c r="D39" t="s">
        <v>28</v>
      </c>
      <c r="E39" t="s">
        <v>249</v>
      </c>
      <c r="F39" t="s">
        <v>250</v>
      </c>
      <c r="G39">
        <v>-20930</v>
      </c>
      <c r="H39" t="s">
        <v>207</v>
      </c>
      <c r="I39" t="s">
        <v>212</v>
      </c>
    </row>
    <row r="40" spans="1:9">
      <c r="A40" s="50">
        <v>46279</v>
      </c>
      <c r="B40" s="51">
        <v>0.2955787037037037</v>
      </c>
      <c r="C40" t="s">
        <v>209</v>
      </c>
      <c r="D40" t="s">
        <v>32</v>
      </c>
      <c r="E40" t="s">
        <v>220</v>
      </c>
      <c r="F40" t="s">
        <v>221</v>
      </c>
      <c r="G40">
        <v>-10000</v>
      </c>
      <c r="H40" t="s">
        <v>207</v>
      </c>
      <c r="I40" t="s">
        <v>54</v>
      </c>
    </row>
    <row r="41" spans="1:9">
      <c r="A41" s="50">
        <v>46279</v>
      </c>
      <c r="B41" s="51">
        <v>0.1329050925925926</v>
      </c>
      <c r="C41" t="s">
        <v>204</v>
      </c>
      <c r="D41" t="s">
        <v>222</v>
      </c>
      <c r="E41" t="s">
        <v>205</v>
      </c>
      <c r="F41" t="s">
        <v>254</v>
      </c>
      <c r="G41">
        <v>-388440</v>
      </c>
      <c r="H41" t="s">
        <v>207</v>
      </c>
      <c r="I41" t="s">
        <v>53</v>
      </c>
    </row>
    <row r="42" spans="1:9">
      <c r="A42" s="50">
        <v>46278</v>
      </c>
      <c r="B42" s="51">
        <v>0.2956365740740741</v>
      </c>
      <c r="C42" t="s">
        <v>209</v>
      </c>
      <c r="D42" t="s">
        <v>32</v>
      </c>
      <c r="E42" t="s">
        <v>220</v>
      </c>
      <c r="F42" t="s">
        <v>221</v>
      </c>
      <c r="G42">
        <v>-10000</v>
      </c>
      <c r="H42" t="s">
        <v>207</v>
      </c>
      <c r="I42" t="s">
        <v>54</v>
      </c>
    </row>
    <row r="43" spans="1:9">
      <c r="A43" s="50">
        <v>46277</v>
      </c>
      <c r="B43" s="51">
        <v>0.6875810185185185</v>
      </c>
      <c r="C43" t="s">
        <v>204</v>
      </c>
      <c r="D43" t="s">
        <v>204</v>
      </c>
      <c r="E43" t="s">
        <v>205</v>
      </c>
      <c r="F43" t="s">
        <v>255</v>
      </c>
      <c r="G43">
        <v>9000</v>
      </c>
      <c r="H43" t="s">
        <v>207</v>
      </c>
      <c r="I43" t="s">
        <v>208</v>
      </c>
    </row>
    <row r="44" spans="1:9">
      <c r="A44" s="50">
        <v>46277</v>
      </c>
      <c r="B44" s="51">
        <v>0.6481828703703704</v>
      </c>
      <c r="C44" t="s">
        <v>204</v>
      </c>
      <c r="D44" t="s">
        <v>204</v>
      </c>
      <c r="E44" t="s">
        <v>205</v>
      </c>
      <c r="F44" t="s">
        <v>256</v>
      </c>
      <c r="G44">
        <v>11000</v>
      </c>
      <c r="H44" t="s">
        <v>207</v>
      </c>
      <c r="I44" t="s">
        <v>208</v>
      </c>
    </row>
    <row r="45" spans="1:9">
      <c r="A45" s="50">
        <v>46277</v>
      </c>
      <c r="B45" s="51">
        <v>0.4918981481481481</v>
      </c>
      <c r="C45" t="s">
        <v>204</v>
      </c>
      <c r="D45" t="s">
        <v>204</v>
      </c>
      <c r="E45" t="s">
        <v>205</v>
      </c>
      <c r="F45" t="s">
        <v>255</v>
      </c>
      <c r="G45">
        <v>22000</v>
      </c>
      <c r="H45" t="s">
        <v>207</v>
      </c>
      <c r="I45" t="s">
        <v>208</v>
      </c>
    </row>
    <row r="46" spans="1:9">
      <c r="A46" s="50">
        <v>46277</v>
      </c>
      <c r="B46" s="51">
        <v>0.4770717592592593</v>
      </c>
      <c r="C46" t="s">
        <v>209</v>
      </c>
      <c r="D46" t="s">
        <v>30</v>
      </c>
      <c r="E46" t="s">
        <v>257</v>
      </c>
      <c r="F46" t="s">
        <v>258</v>
      </c>
      <c r="G46">
        <v>-55000</v>
      </c>
      <c r="H46" t="s">
        <v>207</v>
      </c>
      <c r="I46" t="s">
        <v>259</v>
      </c>
    </row>
    <row r="47" spans="1:9">
      <c r="A47" s="50">
        <v>46277</v>
      </c>
      <c r="B47" s="51">
        <v>0.4770717592592593</v>
      </c>
      <c r="C47" t="s">
        <v>209</v>
      </c>
      <c r="D47" t="s">
        <v>30</v>
      </c>
      <c r="E47" t="s">
        <v>257</v>
      </c>
      <c r="F47" t="s">
        <v>258</v>
      </c>
      <c r="G47">
        <v>-10999</v>
      </c>
      <c r="H47" t="s">
        <v>207</v>
      </c>
      <c r="I47" t="s">
        <v>259</v>
      </c>
    </row>
    <row r="48" spans="1:9">
      <c r="A48" s="50">
        <v>46277</v>
      </c>
      <c r="B48" s="51">
        <v>0.4211111111111111</v>
      </c>
      <c r="C48" t="s">
        <v>204</v>
      </c>
      <c r="D48" t="s">
        <v>237</v>
      </c>
      <c r="E48" t="s">
        <v>205</v>
      </c>
      <c r="F48" t="s">
        <v>260</v>
      </c>
      <c r="G48">
        <v>17600</v>
      </c>
      <c r="H48" t="s">
        <v>207</v>
      </c>
      <c r="I48" t="s">
        <v>47</v>
      </c>
    </row>
    <row r="49" spans="1:9">
      <c r="A49" s="50">
        <v>46277</v>
      </c>
      <c r="B49" s="51">
        <v>0.2957523148148148</v>
      </c>
      <c r="C49" t="s">
        <v>209</v>
      </c>
      <c r="D49" t="s">
        <v>32</v>
      </c>
      <c r="E49" t="s">
        <v>220</v>
      </c>
      <c r="F49" t="s">
        <v>221</v>
      </c>
      <c r="G49">
        <v>-10000</v>
      </c>
      <c r="H49" t="s">
        <v>207</v>
      </c>
      <c r="I49" t="s">
        <v>54</v>
      </c>
    </row>
    <row r="50" spans="1:9">
      <c r="A50" s="50">
        <v>46276</v>
      </c>
      <c r="B50" s="51">
        <v>0.8516435185185185</v>
      </c>
      <c r="C50" t="s">
        <v>209</v>
      </c>
      <c r="D50" t="s">
        <v>36</v>
      </c>
      <c r="E50" t="s">
        <v>224</v>
      </c>
      <c r="F50" t="s">
        <v>225</v>
      </c>
      <c r="G50">
        <v>-5900</v>
      </c>
      <c r="H50" t="s">
        <v>207</v>
      </c>
      <c r="I50" t="s">
        <v>236</v>
      </c>
    </row>
    <row r="51" spans="1:9">
      <c r="A51" s="50">
        <v>46276</v>
      </c>
      <c r="B51" s="51">
        <v>0.825787037037037</v>
      </c>
      <c r="C51" t="s">
        <v>209</v>
      </c>
      <c r="D51" t="s">
        <v>30</v>
      </c>
      <c r="E51" t="s">
        <v>261</v>
      </c>
      <c r="F51" t="s">
        <v>262</v>
      </c>
      <c r="G51">
        <v>-42400</v>
      </c>
      <c r="H51" t="s">
        <v>207</v>
      </c>
      <c r="I51" t="s">
        <v>226</v>
      </c>
    </row>
    <row r="52" spans="1:9">
      <c r="A52" s="50">
        <v>46276</v>
      </c>
      <c r="B52" s="51">
        <v>0.7524884259259259</v>
      </c>
      <c r="C52" t="s">
        <v>209</v>
      </c>
      <c r="D52" t="s">
        <v>24</v>
      </c>
      <c r="E52" t="s">
        <v>263</v>
      </c>
      <c r="F52" t="s">
        <v>264</v>
      </c>
      <c r="G52">
        <v>-56770</v>
      </c>
      <c r="H52" t="s">
        <v>207</v>
      </c>
      <c r="I52" t="s">
        <v>61</v>
      </c>
    </row>
    <row r="53" spans="1:9">
      <c r="A53" s="50">
        <v>46276</v>
      </c>
      <c r="B53" s="51">
        <v>0.5696875</v>
      </c>
      <c r="C53" t="s">
        <v>209</v>
      </c>
      <c r="D53" t="s">
        <v>35</v>
      </c>
      <c r="E53" t="s">
        <v>251</v>
      </c>
      <c r="F53" t="s">
        <v>252</v>
      </c>
      <c r="G53">
        <v>-5990</v>
      </c>
      <c r="H53" t="s">
        <v>207</v>
      </c>
      <c r="I53" t="s">
        <v>236</v>
      </c>
    </row>
    <row r="54" spans="1:9">
      <c r="A54" s="50">
        <v>46276</v>
      </c>
      <c r="B54" s="51">
        <v>0.4968287037037037</v>
      </c>
      <c r="C54" t="s">
        <v>209</v>
      </c>
      <c r="D54" t="s">
        <v>30</v>
      </c>
      <c r="E54" t="s">
        <v>265</v>
      </c>
      <c r="F54" t="s">
        <v>266</v>
      </c>
      <c r="G54">
        <v>-11000</v>
      </c>
      <c r="H54" t="s">
        <v>207</v>
      </c>
      <c r="I54" t="s">
        <v>226</v>
      </c>
    </row>
    <row r="55" spans="1:9">
      <c r="A55" s="50">
        <v>46276</v>
      </c>
      <c r="B55" s="51">
        <v>0.4877893518518518</v>
      </c>
      <c r="C55" t="s">
        <v>204</v>
      </c>
      <c r="D55" t="s">
        <v>204</v>
      </c>
      <c r="E55" t="s">
        <v>205</v>
      </c>
      <c r="F55" t="s">
        <v>267</v>
      </c>
      <c r="G55">
        <v>-30000</v>
      </c>
      <c r="H55" t="s">
        <v>207</v>
      </c>
      <c r="I55" t="s">
        <v>208</v>
      </c>
    </row>
    <row r="56" spans="1:9">
      <c r="A56" s="50">
        <v>46276</v>
      </c>
      <c r="B56" s="51">
        <v>0.2956134259259259</v>
      </c>
      <c r="C56" t="s">
        <v>209</v>
      </c>
      <c r="D56" t="s">
        <v>32</v>
      </c>
      <c r="E56" t="s">
        <v>220</v>
      </c>
      <c r="F56" t="s">
        <v>221</v>
      </c>
      <c r="G56">
        <v>-10000</v>
      </c>
      <c r="H56" t="s">
        <v>207</v>
      </c>
      <c r="I56" t="s">
        <v>54</v>
      </c>
    </row>
    <row r="57" spans="1:9">
      <c r="A57" s="50">
        <v>46275</v>
      </c>
      <c r="B57" s="51">
        <v>0.9861805555555555</v>
      </c>
      <c r="C57" t="s">
        <v>209</v>
      </c>
      <c r="D57" t="s">
        <v>32</v>
      </c>
      <c r="E57" t="s">
        <v>218</v>
      </c>
      <c r="F57" t="s">
        <v>268</v>
      </c>
      <c r="G57">
        <v>-8999</v>
      </c>
      <c r="H57" t="s">
        <v>207</v>
      </c>
      <c r="I57" t="s">
        <v>269</v>
      </c>
    </row>
    <row r="58" spans="1:9">
      <c r="A58" s="50">
        <v>46275</v>
      </c>
      <c r="B58" s="51">
        <v>0.9855671296296297</v>
      </c>
      <c r="C58" t="s">
        <v>204</v>
      </c>
      <c r="D58" t="s">
        <v>204</v>
      </c>
      <c r="E58" t="s">
        <v>205</v>
      </c>
      <c r="F58" t="s">
        <v>206</v>
      </c>
      <c r="G58">
        <v>5475</v>
      </c>
      <c r="H58" t="s">
        <v>207</v>
      </c>
      <c r="I58" t="s">
        <v>208</v>
      </c>
    </row>
    <row r="59" spans="1:9">
      <c r="A59" s="50">
        <v>46275</v>
      </c>
      <c r="B59" s="51">
        <v>0.7725694444444444</v>
      </c>
      <c r="C59" t="s">
        <v>213</v>
      </c>
      <c r="D59" t="s">
        <v>19</v>
      </c>
      <c r="E59" t="s">
        <v>205</v>
      </c>
      <c r="F59" t="s">
        <v>234</v>
      </c>
      <c r="G59">
        <v>1</v>
      </c>
      <c r="H59" t="s">
        <v>207</v>
      </c>
      <c r="I59" t="s">
        <v>208</v>
      </c>
    </row>
    <row r="60" spans="1:9">
      <c r="A60" s="50">
        <v>46275</v>
      </c>
      <c r="B60" s="51">
        <v>0.737175925925926</v>
      </c>
      <c r="C60" t="s">
        <v>209</v>
      </c>
      <c r="D60" t="s">
        <v>24</v>
      </c>
      <c r="E60" t="s">
        <v>263</v>
      </c>
      <c r="F60" t="s">
        <v>270</v>
      </c>
      <c r="G60">
        <v>53400</v>
      </c>
      <c r="H60" t="s">
        <v>207</v>
      </c>
      <c r="I60" t="s">
        <v>217</v>
      </c>
    </row>
    <row r="61" spans="1:9">
      <c r="A61" s="50">
        <v>46275</v>
      </c>
      <c r="B61" s="51">
        <v>0.7363194444444444</v>
      </c>
      <c r="C61" t="s">
        <v>209</v>
      </c>
      <c r="D61" t="s">
        <v>24</v>
      </c>
      <c r="E61" t="s">
        <v>263</v>
      </c>
      <c r="F61" t="s">
        <v>270</v>
      </c>
      <c r="G61">
        <v>-53400</v>
      </c>
      <c r="H61" t="s">
        <v>207</v>
      </c>
      <c r="I61" t="s">
        <v>217</v>
      </c>
    </row>
    <row r="62" spans="1:9">
      <c r="A62" s="50">
        <v>46275</v>
      </c>
      <c r="B62" s="51">
        <v>0.7313541666666666</v>
      </c>
      <c r="C62" t="s">
        <v>209</v>
      </c>
      <c r="D62" t="s">
        <v>24</v>
      </c>
      <c r="E62" t="s">
        <v>263</v>
      </c>
      <c r="F62" t="s">
        <v>270</v>
      </c>
      <c r="G62">
        <v>-53400</v>
      </c>
      <c r="H62" t="s">
        <v>207</v>
      </c>
      <c r="I62" t="s">
        <v>217</v>
      </c>
    </row>
    <row r="63" spans="1:9">
      <c r="A63" s="50">
        <v>46275</v>
      </c>
      <c r="B63" s="51">
        <v>0.7082523148148148</v>
      </c>
      <c r="C63" t="s">
        <v>209</v>
      </c>
      <c r="D63" t="s">
        <v>24</v>
      </c>
      <c r="E63" t="s">
        <v>263</v>
      </c>
      <c r="F63" t="s">
        <v>270</v>
      </c>
      <c r="G63">
        <v>-51800</v>
      </c>
      <c r="H63" t="s">
        <v>207</v>
      </c>
      <c r="I63" t="s">
        <v>217</v>
      </c>
    </row>
    <row r="64" spans="1:9">
      <c r="A64" s="50">
        <v>46275</v>
      </c>
      <c r="B64" s="51">
        <v>0.5997222222222223</v>
      </c>
      <c r="C64" t="s">
        <v>204</v>
      </c>
      <c r="D64" t="s">
        <v>241</v>
      </c>
      <c r="E64" t="s">
        <v>205</v>
      </c>
      <c r="F64" t="s">
        <v>271</v>
      </c>
      <c r="G64">
        <v>58000</v>
      </c>
      <c r="H64" t="s">
        <v>207</v>
      </c>
      <c r="I64" t="s">
        <v>61</v>
      </c>
    </row>
    <row r="65" spans="1:9">
      <c r="A65" s="50">
        <v>46275</v>
      </c>
      <c r="B65" s="51">
        <v>0.5997222222222223</v>
      </c>
      <c r="C65" t="s">
        <v>204</v>
      </c>
      <c r="D65" t="s">
        <v>241</v>
      </c>
      <c r="E65" t="s">
        <v>205</v>
      </c>
      <c r="F65" t="s">
        <v>271</v>
      </c>
      <c r="G65">
        <v>-58000</v>
      </c>
      <c r="H65" t="s">
        <v>207</v>
      </c>
      <c r="I65" t="s">
        <v>21</v>
      </c>
    </row>
    <row r="66" spans="1:9">
      <c r="A66" s="50">
        <v>46275</v>
      </c>
      <c r="B66" s="51">
        <v>0.5209143518518519</v>
      </c>
      <c r="C66" t="s">
        <v>209</v>
      </c>
      <c r="D66" t="s">
        <v>37</v>
      </c>
      <c r="E66" t="s">
        <v>272</v>
      </c>
      <c r="F66" t="s">
        <v>273</v>
      </c>
      <c r="G66">
        <v>-16900</v>
      </c>
      <c r="H66" t="s">
        <v>207</v>
      </c>
      <c r="I66" t="s">
        <v>236</v>
      </c>
    </row>
    <row r="67" spans="1:9">
      <c r="A67" s="50">
        <v>46275</v>
      </c>
      <c r="B67" s="51">
        <v>0.485775462962963</v>
      </c>
      <c r="C67" t="s">
        <v>204</v>
      </c>
      <c r="D67" t="s">
        <v>274</v>
      </c>
      <c r="E67" t="s">
        <v>205</v>
      </c>
      <c r="F67" t="s">
        <v>275</v>
      </c>
      <c r="G67">
        <v>46000</v>
      </c>
      <c r="H67" t="s">
        <v>207</v>
      </c>
      <c r="I67" t="s">
        <v>55</v>
      </c>
    </row>
    <row r="68" spans="1:9">
      <c r="A68" s="50">
        <v>46275</v>
      </c>
      <c r="B68" s="51">
        <v>0.484375</v>
      </c>
      <c r="C68" t="s">
        <v>209</v>
      </c>
      <c r="D68" t="s">
        <v>30</v>
      </c>
      <c r="E68" t="s">
        <v>265</v>
      </c>
      <c r="F68" t="s">
        <v>276</v>
      </c>
      <c r="G68">
        <v>-10950</v>
      </c>
      <c r="H68" t="s">
        <v>207</v>
      </c>
      <c r="I68" t="s">
        <v>236</v>
      </c>
    </row>
    <row r="69" spans="1:9">
      <c r="A69" s="50">
        <v>46275</v>
      </c>
      <c r="B69" s="51">
        <v>0.4681018518518518</v>
      </c>
      <c r="C69" t="s">
        <v>209</v>
      </c>
      <c r="D69" t="s">
        <v>32</v>
      </c>
      <c r="E69" t="s">
        <v>218</v>
      </c>
      <c r="F69" t="s">
        <v>277</v>
      </c>
      <c r="G69">
        <v>-8990</v>
      </c>
      <c r="H69" t="s">
        <v>207</v>
      </c>
      <c r="I69" t="s">
        <v>236</v>
      </c>
    </row>
    <row r="70" spans="1:9">
      <c r="A70" s="50">
        <v>46275</v>
      </c>
      <c r="B70" s="51">
        <v>0.4127546296296296</v>
      </c>
      <c r="C70" t="s">
        <v>204</v>
      </c>
      <c r="D70" t="s">
        <v>204</v>
      </c>
      <c r="E70" t="s">
        <v>205</v>
      </c>
      <c r="F70" t="s">
        <v>278</v>
      </c>
      <c r="G70">
        <v>30300</v>
      </c>
      <c r="H70" t="s">
        <v>207</v>
      </c>
      <c r="I70" t="s">
        <v>55</v>
      </c>
    </row>
    <row r="71" spans="1:9">
      <c r="A71" s="50">
        <v>46275</v>
      </c>
      <c r="B71" s="51">
        <v>0.2956365740740741</v>
      </c>
      <c r="C71" t="s">
        <v>209</v>
      </c>
      <c r="D71" t="s">
        <v>32</v>
      </c>
      <c r="E71" t="s">
        <v>220</v>
      </c>
      <c r="F71" t="s">
        <v>221</v>
      </c>
      <c r="G71">
        <v>-10000</v>
      </c>
      <c r="H71" t="s">
        <v>207</v>
      </c>
      <c r="I71" t="s">
        <v>54</v>
      </c>
    </row>
    <row r="72" spans="1:9">
      <c r="A72" s="50">
        <v>46275</v>
      </c>
      <c r="B72" s="51">
        <v>0</v>
      </c>
      <c r="C72" t="s">
        <v>209</v>
      </c>
      <c r="D72" t="s">
        <v>32</v>
      </c>
      <c r="E72" t="s">
        <v>218</v>
      </c>
      <c r="F72" t="s">
        <v>279</v>
      </c>
      <c r="G72">
        <v>8070</v>
      </c>
      <c r="H72" t="s">
        <v>207</v>
      </c>
      <c r="I72" t="s">
        <v>236</v>
      </c>
    </row>
    <row r="73" spans="1:9">
      <c r="A73" s="50">
        <v>46274</v>
      </c>
      <c r="B73" s="51">
        <v>0.5143402777777778</v>
      </c>
      <c r="C73" t="s">
        <v>209</v>
      </c>
      <c r="D73" t="s">
        <v>33</v>
      </c>
      <c r="E73" t="s">
        <v>280</v>
      </c>
      <c r="F73" t="s">
        <v>281</v>
      </c>
      <c r="G73">
        <v>-75700</v>
      </c>
      <c r="H73" t="s">
        <v>207</v>
      </c>
      <c r="I73" t="s">
        <v>226</v>
      </c>
    </row>
    <row r="74" spans="1:9">
      <c r="A74" s="50">
        <v>46274</v>
      </c>
      <c r="B74" s="51">
        <v>0.4895833333333333</v>
      </c>
      <c r="C74" t="s">
        <v>209</v>
      </c>
      <c r="D74" t="s">
        <v>32</v>
      </c>
      <c r="E74" t="s">
        <v>218</v>
      </c>
      <c r="F74" t="s">
        <v>282</v>
      </c>
      <c r="G74">
        <v>-15960</v>
      </c>
      <c r="H74" t="s">
        <v>207</v>
      </c>
      <c r="I74" t="s">
        <v>212</v>
      </c>
    </row>
    <row r="75" spans="1:9">
      <c r="A75" s="50">
        <v>46274</v>
      </c>
      <c r="B75" s="51">
        <v>0.3210532407407408</v>
      </c>
      <c r="C75" t="s">
        <v>204</v>
      </c>
      <c r="D75" t="s">
        <v>204</v>
      </c>
      <c r="E75" t="s">
        <v>205</v>
      </c>
      <c r="F75" t="s">
        <v>283</v>
      </c>
      <c r="G75">
        <v>1800</v>
      </c>
      <c r="H75" t="s">
        <v>207</v>
      </c>
      <c r="I75" t="s">
        <v>50</v>
      </c>
    </row>
    <row r="76" spans="1:9">
      <c r="A76" s="50">
        <v>46274</v>
      </c>
      <c r="B76" s="51">
        <v>0.2956365740740741</v>
      </c>
      <c r="C76" t="s">
        <v>209</v>
      </c>
      <c r="D76" t="s">
        <v>32</v>
      </c>
      <c r="E76" t="s">
        <v>220</v>
      </c>
      <c r="F76" t="s">
        <v>221</v>
      </c>
      <c r="G76">
        <v>-10000</v>
      </c>
      <c r="H76" t="s">
        <v>207</v>
      </c>
      <c r="I76" t="s">
        <v>54</v>
      </c>
    </row>
    <row r="77" spans="1:9">
      <c r="A77" s="50">
        <v>46273</v>
      </c>
      <c r="B77" s="51">
        <v>0.7139236111111111</v>
      </c>
      <c r="C77" t="s">
        <v>209</v>
      </c>
      <c r="D77" t="s">
        <v>30</v>
      </c>
      <c r="E77" t="s">
        <v>257</v>
      </c>
      <c r="F77" t="s">
        <v>258</v>
      </c>
      <c r="G77">
        <v>-11000</v>
      </c>
      <c r="H77" t="s">
        <v>207</v>
      </c>
      <c r="I77" t="s">
        <v>259</v>
      </c>
    </row>
    <row r="78" spans="1:9">
      <c r="A78" s="50">
        <v>46273</v>
      </c>
      <c r="B78" s="51">
        <v>0.7139236111111111</v>
      </c>
      <c r="C78" t="s">
        <v>209</v>
      </c>
      <c r="D78" t="s">
        <v>30</v>
      </c>
      <c r="E78" t="s">
        <v>257</v>
      </c>
      <c r="F78" t="s">
        <v>258</v>
      </c>
      <c r="G78">
        <v>-3200</v>
      </c>
      <c r="H78" t="s">
        <v>207</v>
      </c>
      <c r="I78" t="s">
        <v>259</v>
      </c>
    </row>
    <row r="79" spans="1:9">
      <c r="A79" s="50">
        <v>46273</v>
      </c>
      <c r="B79" s="51">
        <v>0.5595717592592593</v>
      </c>
      <c r="C79" t="s">
        <v>204</v>
      </c>
      <c r="D79" t="s">
        <v>204</v>
      </c>
      <c r="E79" t="s">
        <v>205</v>
      </c>
      <c r="F79" t="s">
        <v>206</v>
      </c>
      <c r="G79">
        <v>2850</v>
      </c>
      <c r="H79" t="s">
        <v>207</v>
      </c>
      <c r="I79" t="s">
        <v>208</v>
      </c>
    </row>
    <row r="80" spans="1:9">
      <c r="A80" s="50">
        <v>46273</v>
      </c>
      <c r="B80" s="51">
        <v>0.5549421296296296</v>
      </c>
      <c r="C80" t="s">
        <v>213</v>
      </c>
      <c r="D80" t="s">
        <v>19</v>
      </c>
      <c r="E80" t="s">
        <v>205</v>
      </c>
      <c r="F80" t="s">
        <v>234</v>
      </c>
      <c r="G80">
        <v>1</v>
      </c>
      <c r="H80" t="s">
        <v>207</v>
      </c>
      <c r="I80" t="s">
        <v>208</v>
      </c>
    </row>
    <row r="81" spans="1:9">
      <c r="A81" s="50">
        <v>46273</v>
      </c>
      <c r="B81" s="51">
        <v>0.4848263888888889</v>
      </c>
      <c r="C81" t="s">
        <v>209</v>
      </c>
      <c r="D81" t="s">
        <v>36</v>
      </c>
      <c r="E81" t="s">
        <v>284</v>
      </c>
      <c r="F81" t="s">
        <v>285</v>
      </c>
      <c r="G81">
        <v>-5800</v>
      </c>
      <c r="H81" t="s">
        <v>207</v>
      </c>
      <c r="I81" t="s">
        <v>236</v>
      </c>
    </row>
    <row r="82" spans="1:9">
      <c r="A82" s="50">
        <v>46273</v>
      </c>
      <c r="B82" s="51">
        <v>0.4845949074074074</v>
      </c>
      <c r="C82" t="s">
        <v>209</v>
      </c>
      <c r="D82" t="s">
        <v>36</v>
      </c>
      <c r="E82" t="s">
        <v>284</v>
      </c>
      <c r="F82" t="s">
        <v>285</v>
      </c>
      <c r="G82">
        <v>-5800</v>
      </c>
      <c r="H82" t="s">
        <v>207</v>
      </c>
      <c r="I82" t="s">
        <v>236</v>
      </c>
    </row>
    <row r="83" spans="1:9">
      <c r="A83" s="50">
        <v>46273</v>
      </c>
      <c r="B83" s="51">
        <v>0.2955555555555556</v>
      </c>
      <c r="C83" t="s">
        <v>209</v>
      </c>
      <c r="D83" t="s">
        <v>32</v>
      </c>
      <c r="E83" t="s">
        <v>220</v>
      </c>
      <c r="F83" t="s">
        <v>221</v>
      </c>
      <c r="G83">
        <v>-10000</v>
      </c>
      <c r="H83" t="s">
        <v>207</v>
      </c>
      <c r="I83" t="s">
        <v>54</v>
      </c>
    </row>
    <row r="84" spans="1:9">
      <c r="A84" s="50">
        <v>46272</v>
      </c>
      <c r="B84" s="51">
        <v>0.7846180555555555</v>
      </c>
      <c r="C84" t="s">
        <v>209</v>
      </c>
      <c r="D84" t="s">
        <v>32</v>
      </c>
      <c r="E84" t="s">
        <v>218</v>
      </c>
      <c r="F84" t="s">
        <v>286</v>
      </c>
      <c r="G84">
        <v>-45500</v>
      </c>
      <c r="H84" t="s">
        <v>207</v>
      </c>
      <c r="I84" t="s">
        <v>212</v>
      </c>
    </row>
    <row r="85" spans="1:9">
      <c r="A85" s="50">
        <v>46272</v>
      </c>
      <c r="B85" s="51">
        <v>0.7540162037037037</v>
      </c>
      <c r="C85" t="s">
        <v>204</v>
      </c>
      <c r="D85" t="s">
        <v>204</v>
      </c>
      <c r="E85" t="s">
        <v>205</v>
      </c>
      <c r="F85" t="s">
        <v>287</v>
      </c>
      <c r="G85">
        <v>-3000</v>
      </c>
      <c r="H85" t="s">
        <v>207</v>
      </c>
      <c r="I85" t="s">
        <v>61</v>
      </c>
    </row>
    <row r="86" spans="1:9">
      <c r="A86" s="50">
        <v>46272</v>
      </c>
      <c r="B86" s="51">
        <v>0.6604050925925926</v>
      </c>
      <c r="C86" t="s">
        <v>209</v>
      </c>
      <c r="D86" t="s">
        <v>32</v>
      </c>
      <c r="E86" t="s">
        <v>218</v>
      </c>
      <c r="F86" t="s">
        <v>286</v>
      </c>
      <c r="G86">
        <v>-13290</v>
      </c>
      <c r="H86" t="s">
        <v>207</v>
      </c>
      <c r="I86" t="s">
        <v>212</v>
      </c>
    </row>
    <row r="87" spans="1:9">
      <c r="A87" s="50">
        <v>46272</v>
      </c>
      <c r="B87" s="51">
        <v>0.6207638888888889</v>
      </c>
      <c r="C87" t="s">
        <v>209</v>
      </c>
      <c r="D87" t="s">
        <v>32</v>
      </c>
      <c r="E87" t="s">
        <v>218</v>
      </c>
      <c r="F87" t="s">
        <v>288</v>
      </c>
      <c r="G87">
        <v>-5999</v>
      </c>
      <c r="H87" t="s">
        <v>207</v>
      </c>
      <c r="I87" t="s">
        <v>236</v>
      </c>
    </row>
    <row r="88" spans="1:9">
      <c r="A88" s="50">
        <v>46272</v>
      </c>
      <c r="B88" s="51">
        <v>0.5659837962962962</v>
      </c>
      <c r="C88" t="s">
        <v>209</v>
      </c>
      <c r="D88" t="s">
        <v>32</v>
      </c>
      <c r="E88" t="s">
        <v>218</v>
      </c>
      <c r="F88" t="s">
        <v>286</v>
      </c>
      <c r="G88">
        <v>-24290</v>
      </c>
      <c r="H88" t="s">
        <v>207</v>
      </c>
      <c r="I88" t="s">
        <v>212</v>
      </c>
    </row>
    <row r="89" spans="1:9">
      <c r="A89" s="50">
        <v>46272</v>
      </c>
      <c r="B89" s="51">
        <v>0.4810300925925926</v>
      </c>
      <c r="C89" t="s">
        <v>209</v>
      </c>
      <c r="D89" t="s">
        <v>32</v>
      </c>
      <c r="E89" t="s">
        <v>215</v>
      </c>
      <c r="F89" t="s">
        <v>289</v>
      </c>
      <c r="G89">
        <v>-4900</v>
      </c>
      <c r="H89" t="s">
        <v>207</v>
      </c>
      <c r="I89" t="s">
        <v>217</v>
      </c>
    </row>
    <row r="90" spans="1:9">
      <c r="A90" s="50">
        <v>46272</v>
      </c>
      <c r="B90" s="51">
        <v>0.462650462962963</v>
      </c>
      <c r="C90" t="s">
        <v>204</v>
      </c>
      <c r="D90" t="s">
        <v>237</v>
      </c>
      <c r="E90" t="s">
        <v>205</v>
      </c>
      <c r="F90" t="s">
        <v>290</v>
      </c>
      <c r="G90">
        <v>26100</v>
      </c>
      <c r="H90" t="s">
        <v>207</v>
      </c>
      <c r="I90" t="s">
        <v>55</v>
      </c>
    </row>
    <row r="91" spans="1:9">
      <c r="A91" s="50">
        <v>46272</v>
      </c>
      <c r="B91" s="51">
        <v>0.4623263888888889</v>
      </c>
      <c r="C91" t="s">
        <v>204</v>
      </c>
      <c r="D91" t="s">
        <v>237</v>
      </c>
      <c r="E91" t="s">
        <v>205</v>
      </c>
      <c r="F91" t="s">
        <v>291</v>
      </c>
      <c r="G91">
        <v>13800</v>
      </c>
      <c r="H91" t="s">
        <v>207</v>
      </c>
      <c r="I91" t="s">
        <v>55</v>
      </c>
    </row>
    <row r="92" spans="1:9">
      <c r="A92" s="50">
        <v>46272</v>
      </c>
      <c r="B92" s="51">
        <v>0.3851157407407407</v>
      </c>
      <c r="C92" t="s">
        <v>204</v>
      </c>
      <c r="D92" t="s">
        <v>274</v>
      </c>
      <c r="E92" t="s">
        <v>205</v>
      </c>
      <c r="F92" t="s">
        <v>292</v>
      </c>
      <c r="G92">
        <v>2450</v>
      </c>
      <c r="H92" t="s">
        <v>207</v>
      </c>
      <c r="I92" t="s">
        <v>57</v>
      </c>
    </row>
    <row r="93" spans="1:9">
      <c r="A93" s="50">
        <v>46272</v>
      </c>
      <c r="B93" s="51">
        <v>0.2955208333333333</v>
      </c>
      <c r="C93" t="s">
        <v>209</v>
      </c>
      <c r="D93" t="s">
        <v>32</v>
      </c>
      <c r="E93" t="s">
        <v>220</v>
      </c>
      <c r="F93" t="s">
        <v>221</v>
      </c>
      <c r="G93">
        <v>-10000</v>
      </c>
      <c r="H93" t="s">
        <v>207</v>
      </c>
      <c r="I93" t="s">
        <v>54</v>
      </c>
    </row>
    <row r="94" spans="1:9">
      <c r="A94" s="50">
        <v>46272</v>
      </c>
      <c r="B94" s="51">
        <v>0</v>
      </c>
      <c r="C94" t="s">
        <v>209</v>
      </c>
      <c r="D94" t="s">
        <v>32</v>
      </c>
      <c r="E94" t="s">
        <v>218</v>
      </c>
      <c r="F94" t="s">
        <v>293</v>
      </c>
      <c r="G94">
        <v>2198</v>
      </c>
      <c r="H94" t="s">
        <v>207</v>
      </c>
      <c r="I94" t="s">
        <v>236</v>
      </c>
    </row>
    <row r="95" spans="1:9">
      <c r="A95" s="50">
        <v>46271</v>
      </c>
      <c r="B95" s="51">
        <v>0.9272569444444444</v>
      </c>
      <c r="C95" t="s">
        <v>204</v>
      </c>
      <c r="D95" t="s">
        <v>204</v>
      </c>
      <c r="E95" t="s">
        <v>205</v>
      </c>
      <c r="F95" t="s">
        <v>294</v>
      </c>
      <c r="G95">
        <v>30000</v>
      </c>
      <c r="H95" t="s">
        <v>207</v>
      </c>
      <c r="I95" t="s">
        <v>21</v>
      </c>
    </row>
    <row r="96" spans="1:9">
      <c r="A96" s="50">
        <v>46271</v>
      </c>
      <c r="B96" s="51">
        <v>0.7856828703703703</v>
      </c>
      <c r="C96" t="s">
        <v>209</v>
      </c>
      <c r="D96" t="s">
        <v>31</v>
      </c>
      <c r="E96" t="s">
        <v>295</v>
      </c>
      <c r="F96" t="s">
        <v>286</v>
      </c>
      <c r="G96">
        <v>-138000</v>
      </c>
      <c r="H96" t="s">
        <v>207</v>
      </c>
      <c r="I96" t="s">
        <v>212</v>
      </c>
    </row>
    <row r="97" spans="1:9">
      <c r="A97" s="50">
        <v>46271</v>
      </c>
      <c r="B97" s="51">
        <v>0.7346643518518519</v>
      </c>
      <c r="C97" t="s">
        <v>209</v>
      </c>
      <c r="D97" t="s">
        <v>25</v>
      </c>
      <c r="E97" t="s">
        <v>232</v>
      </c>
      <c r="F97" t="s">
        <v>233</v>
      </c>
      <c r="G97">
        <v>-4000</v>
      </c>
      <c r="H97" t="s">
        <v>207</v>
      </c>
      <c r="I97" t="s">
        <v>208</v>
      </c>
    </row>
    <row r="98" spans="1:9">
      <c r="A98" s="50">
        <v>46271</v>
      </c>
      <c r="B98" s="51">
        <v>0.6121412037037037</v>
      </c>
      <c r="C98" t="s">
        <v>209</v>
      </c>
      <c r="D98" t="s">
        <v>36</v>
      </c>
      <c r="E98" t="s">
        <v>284</v>
      </c>
      <c r="F98" t="s">
        <v>296</v>
      </c>
      <c r="G98">
        <v>-5800</v>
      </c>
      <c r="H98" t="s">
        <v>207</v>
      </c>
      <c r="I98" t="s">
        <v>236</v>
      </c>
    </row>
    <row r="99" spans="1:9">
      <c r="A99" s="50">
        <v>46271</v>
      </c>
      <c r="B99" s="51">
        <v>0.4456134259259259</v>
      </c>
      <c r="C99" t="s">
        <v>209</v>
      </c>
      <c r="D99" t="s">
        <v>32</v>
      </c>
      <c r="E99" t="s">
        <v>218</v>
      </c>
      <c r="F99" t="s">
        <v>297</v>
      </c>
      <c r="G99">
        <v>-45900</v>
      </c>
      <c r="H99" t="s">
        <v>207</v>
      </c>
      <c r="I99" t="s">
        <v>212</v>
      </c>
    </row>
    <row r="100" spans="1:9">
      <c r="A100" s="50">
        <v>46271</v>
      </c>
      <c r="B100" s="51">
        <v>0.2960763888888889</v>
      </c>
      <c r="C100" t="s">
        <v>209</v>
      </c>
      <c r="D100" t="s">
        <v>32</v>
      </c>
      <c r="E100" t="s">
        <v>220</v>
      </c>
      <c r="F100" t="s">
        <v>221</v>
      </c>
      <c r="G100">
        <v>-10000</v>
      </c>
      <c r="H100" t="s">
        <v>207</v>
      </c>
      <c r="I100" t="s">
        <v>54</v>
      </c>
    </row>
    <row r="101" spans="1:9">
      <c r="A101" s="50">
        <v>46270</v>
      </c>
      <c r="B101" s="51">
        <v>0.5874884259259259</v>
      </c>
      <c r="C101" t="s">
        <v>209</v>
      </c>
      <c r="D101" t="s">
        <v>26</v>
      </c>
      <c r="E101" t="s">
        <v>298</v>
      </c>
      <c r="F101" t="s">
        <v>299</v>
      </c>
      <c r="G101">
        <v>-24000</v>
      </c>
      <c r="H101" t="s">
        <v>207</v>
      </c>
      <c r="I101" t="s">
        <v>226</v>
      </c>
    </row>
    <row r="102" spans="1:9">
      <c r="A102" s="50">
        <v>46270</v>
      </c>
      <c r="B102" s="51">
        <v>0.2955324074074074</v>
      </c>
      <c r="C102" t="s">
        <v>209</v>
      </c>
      <c r="D102" t="s">
        <v>32</v>
      </c>
      <c r="E102" t="s">
        <v>220</v>
      </c>
      <c r="F102" t="s">
        <v>221</v>
      </c>
      <c r="G102">
        <v>-10000</v>
      </c>
      <c r="H102" t="s">
        <v>207</v>
      </c>
      <c r="I102" t="s">
        <v>54</v>
      </c>
    </row>
    <row r="103" spans="1:9">
      <c r="A103" s="50">
        <v>46270</v>
      </c>
      <c r="B103" s="51">
        <v>0.1218055555555556</v>
      </c>
      <c r="C103" t="s">
        <v>209</v>
      </c>
      <c r="D103" t="s">
        <v>32</v>
      </c>
      <c r="E103" t="s">
        <v>215</v>
      </c>
      <c r="F103" t="s">
        <v>300</v>
      </c>
      <c r="G103">
        <v>-2500</v>
      </c>
      <c r="H103" t="s">
        <v>207</v>
      </c>
      <c r="I103" t="s">
        <v>301</v>
      </c>
    </row>
    <row r="104" spans="1:9">
      <c r="A104" s="50">
        <v>46269</v>
      </c>
      <c r="B104" s="51">
        <v>0.9596296296296296</v>
      </c>
      <c r="C104" t="s">
        <v>204</v>
      </c>
      <c r="D104" t="s">
        <v>241</v>
      </c>
      <c r="E104" t="s">
        <v>205</v>
      </c>
      <c r="F104" t="s">
        <v>302</v>
      </c>
      <c r="G104">
        <v>-650000</v>
      </c>
      <c r="H104" t="s">
        <v>207</v>
      </c>
      <c r="I104" t="s">
        <v>61</v>
      </c>
    </row>
    <row r="105" spans="1:9">
      <c r="A105" s="50">
        <v>46269</v>
      </c>
      <c r="B105" s="51">
        <v>0.8024074074074075</v>
      </c>
      <c r="C105" t="s">
        <v>209</v>
      </c>
      <c r="D105" t="s">
        <v>27</v>
      </c>
      <c r="E105" t="s">
        <v>303</v>
      </c>
      <c r="F105" t="s">
        <v>304</v>
      </c>
      <c r="G105">
        <v>-107500</v>
      </c>
      <c r="H105" t="s">
        <v>207</v>
      </c>
      <c r="I105" t="s">
        <v>230</v>
      </c>
    </row>
    <row r="106" spans="1:9">
      <c r="A106" s="50">
        <v>46269</v>
      </c>
      <c r="B106" s="51">
        <v>0.6524421296296297</v>
      </c>
      <c r="C106" t="s">
        <v>209</v>
      </c>
      <c r="D106" t="s">
        <v>23</v>
      </c>
      <c r="E106" t="s">
        <v>305</v>
      </c>
      <c r="F106" t="s">
        <v>306</v>
      </c>
      <c r="G106">
        <v>-19000</v>
      </c>
      <c r="H106" t="s">
        <v>207</v>
      </c>
      <c r="I106" t="s">
        <v>217</v>
      </c>
    </row>
    <row r="107" spans="1:9">
      <c r="A107" s="50">
        <v>46269</v>
      </c>
      <c r="B107" s="51">
        <v>0.635150462962963</v>
      </c>
      <c r="C107" t="s">
        <v>209</v>
      </c>
      <c r="D107" t="s">
        <v>35</v>
      </c>
      <c r="E107" t="s">
        <v>307</v>
      </c>
      <c r="F107" t="s">
        <v>308</v>
      </c>
      <c r="G107">
        <v>-10750</v>
      </c>
      <c r="H107" t="s">
        <v>207</v>
      </c>
      <c r="I107" t="s">
        <v>236</v>
      </c>
    </row>
    <row r="108" spans="1:9">
      <c r="A108" s="50">
        <v>46269</v>
      </c>
      <c r="B108" s="51">
        <v>0.634375</v>
      </c>
      <c r="C108" t="s">
        <v>209</v>
      </c>
      <c r="D108" t="s">
        <v>25</v>
      </c>
      <c r="E108" t="s">
        <v>229</v>
      </c>
      <c r="F108" t="s">
        <v>309</v>
      </c>
      <c r="G108">
        <v>-55000</v>
      </c>
      <c r="H108" t="s">
        <v>207</v>
      </c>
      <c r="I108" t="s">
        <v>230</v>
      </c>
    </row>
    <row r="109" spans="1:9">
      <c r="A109" s="50">
        <v>46269</v>
      </c>
      <c r="B109" s="51">
        <v>0.4866666666666667</v>
      </c>
      <c r="C109" t="s">
        <v>209</v>
      </c>
      <c r="D109" t="s">
        <v>30</v>
      </c>
      <c r="E109" t="s">
        <v>227</v>
      </c>
      <c r="F109" t="s">
        <v>310</v>
      </c>
      <c r="G109">
        <v>-5500</v>
      </c>
      <c r="H109" t="s">
        <v>207</v>
      </c>
      <c r="I109" t="s">
        <v>236</v>
      </c>
    </row>
    <row r="110" spans="1:9">
      <c r="A110" s="50">
        <v>46269</v>
      </c>
      <c r="B110" s="51">
        <v>0.4397569444444445</v>
      </c>
      <c r="C110" t="s">
        <v>209</v>
      </c>
      <c r="D110" t="s">
        <v>32</v>
      </c>
      <c r="E110" t="s">
        <v>218</v>
      </c>
      <c r="F110" t="s">
        <v>268</v>
      </c>
      <c r="G110">
        <v>-5700</v>
      </c>
      <c r="H110" t="s">
        <v>207</v>
      </c>
      <c r="I110" t="s">
        <v>269</v>
      </c>
    </row>
    <row r="111" spans="1:9">
      <c r="A111" s="50">
        <v>46269</v>
      </c>
      <c r="B111" s="51">
        <v>0.4259490740740741</v>
      </c>
      <c r="C111" t="s">
        <v>209</v>
      </c>
      <c r="D111" t="s">
        <v>30</v>
      </c>
      <c r="E111" t="s">
        <v>311</v>
      </c>
      <c r="F111" t="s">
        <v>312</v>
      </c>
      <c r="G111">
        <v>-15230</v>
      </c>
      <c r="H111" t="s">
        <v>207</v>
      </c>
      <c r="I111" t="s">
        <v>217</v>
      </c>
    </row>
    <row r="112" spans="1:9">
      <c r="A112" s="50">
        <v>46269</v>
      </c>
      <c r="B112" s="51">
        <v>0.2958564814814815</v>
      </c>
      <c r="C112" t="s">
        <v>209</v>
      </c>
      <c r="D112" t="s">
        <v>32</v>
      </c>
      <c r="E112" t="s">
        <v>220</v>
      </c>
      <c r="F112" t="s">
        <v>221</v>
      </c>
      <c r="G112">
        <v>-10000</v>
      </c>
      <c r="H112" t="s">
        <v>207</v>
      </c>
      <c r="I112" t="s">
        <v>54</v>
      </c>
    </row>
    <row r="113" spans="1:9">
      <c r="A113" s="50">
        <v>46268</v>
      </c>
      <c r="B113" s="51">
        <v>0.7114814814814815</v>
      </c>
      <c r="C113" t="s">
        <v>209</v>
      </c>
      <c r="D113" t="s">
        <v>30</v>
      </c>
      <c r="E113" t="s">
        <v>257</v>
      </c>
      <c r="F113" t="s">
        <v>258</v>
      </c>
      <c r="G113">
        <v>-66000</v>
      </c>
      <c r="H113" t="s">
        <v>207</v>
      </c>
      <c r="I113" t="s">
        <v>259</v>
      </c>
    </row>
    <row r="114" spans="1:9">
      <c r="A114" s="50">
        <v>46268</v>
      </c>
      <c r="B114" s="51">
        <v>0.7114814814814815</v>
      </c>
      <c r="C114" t="s">
        <v>209</v>
      </c>
      <c r="D114" t="s">
        <v>30</v>
      </c>
      <c r="E114" t="s">
        <v>257</v>
      </c>
      <c r="F114" t="s">
        <v>258</v>
      </c>
      <c r="G114">
        <v>-4500</v>
      </c>
      <c r="H114" t="s">
        <v>207</v>
      </c>
      <c r="I114" t="s">
        <v>259</v>
      </c>
    </row>
    <row r="115" spans="1:9">
      <c r="A115" s="50">
        <v>46268</v>
      </c>
      <c r="B115" s="51">
        <v>0.2956481481481482</v>
      </c>
      <c r="C115" t="s">
        <v>209</v>
      </c>
      <c r="D115" t="s">
        <v>32</v>
      </c>
      <c r="E115" t="s">
        <v>220</v>
      </c>
      <c r="F115" t="s">
        <v>221</v>
      </c>
      <c r="G115">
        <v>-10000</v>
      </c>
      <c r="H115" t="s">
        <v>207</v>
      </c>
      <c r="I115" t="s">
        <v>54</v>
      </c>
    </row>
    <row r="116" spans="1:9">
      <c r="A116" s="50">
        <v>46267</v>
      </c>
      <c r="B116" s="51">
        <v>0.8048611111111111</v>
      </c>
      <c r="C116" t="s">
        <v>209</v>
      </c>
      <c r="D116" t="s">
        <v>28</v>
      </c>
      <c r="E116" t="s">
        <v>313</v>
      </c>
      <c r="F116" t="s">
        <v>314</v>
      </c>
      <c r="G116">
        <v>-10600</v>
      </c>
      <c r="H116" t="s">
        <v>207</v>
      </c>
      <c r="I116" t="s">
        <v>259</v>
      </c>
    </row>
    <row r="117" spans="1:9">
      <c r="A117" s="50">
        <v>46267</v>
      </c>
      <c r="B117" s="51">
        <v>0.6966203703703704</v>
      </c>
      <c r="C117" t="s">
        <v>209</v>
      </c>
      <c r="D117" t="s">
        <v>32</v>
      </c>
      <c r="E117" t="s">
        <v>218</v>
      </c>
      <c r="F117" t="s">
        <v>286</v>
      </c>
      <c r="G117">
        <v>-13300</v>
      </c>
      <c r="H117" t="s">
        <v>207</v>
      </c>
      <c r="I117" t="s">
        <v>212</v>
      </c>
    </row>
    <row r="118" spans="1:9">
      <c r="A118" s="50">
        <v>46267</v>
      </c>
      <c r="B118" s="51">
        <v>0.6948842592592592</v>
      </c>
      <c r="C118" t="s">
        <v>209</v>
      </c>
      <c r="D118" t="s">
        <v>32</v>
      </c>
      <c r="E118" t="s">
        <v>218</v>
      </c>
      <c r="F118" t="s">
        <v>286</v>
      </c>
      <c r="G118">
        <v>12300</v>
      </c>
      <c r="H118" t="s">
        <v>207</v>
      </c>
      <c r="I118" t="s">
        <v>212</v>
      </c>
    </row>
    <row r="119" spans="1:9">
      <c r="A119" s="50">
        <v>46267</v>
      </c>
      <c r="B119" s="51">
        <v>0.6648842592592593</v>
      </c>
      <c r="C119" t="s">
        <v>209</v>
      </c>
      <c r="D119" t="s">
        <v>28</v>
      </c>
      <c r="E119" t="s">
        <v>315</v>
      </c>
      <c r="F119" t="s">
        <v>316</v>
      </c>
      <c r="G119">
        <v>-29900</v>
      </c>
      <c r="H119" t="s">
        <v>207</v>
      </c>
      <c r="I119" t="s">
        <v>217</v>
      </c>
    </row>
    <row r="120" spans="1:9">
      <c r="A120" s="50">
        <v>46267</v>
      </c>
      <c r="B120" s="51">
        <v>0.5620138888888889</v>
      </c>
      <c r="C120" t="s">
        <v>209</v>
      </c>
      <c r="D120" t="s">
        <v>32</v>
      </c>
      <c r="E120" t="s">
        <v>218</v>
      </c>
      <c r="F120" t="s">
        <v>317</v>
      </c>
      <c r="G120">
        <v>-120666</v>
      </c>
      <c r="H120" t="s">
        <v>207</v>
      </c>
      <c r="I120" t="s">
        <v>318</v>
      </c>
    </row>
    <row r="121" spans="1:9">
      <c r="A121" s="50">
        <v>46267</v>
      </c>
      <c r="B121" s="51">
        <v>0.4934722222222222</v>
      </c>
      <c r="C121" t="s">
        <v>209</v>
      </c>
      <c r="D121" t="s">
        <v>32</v>
      </c>
      <c r="E121" t="s">
        <v>218</v>
      </c>
      <c r="F121" t="s">
        <v>286</v>
      </c>
      <c r="G121">
        <v>-12300</v>
      </c>
      <c r="H121" t="s">
        <v>207</v>
      </c>
      <c r="I121" t="s">
        <v>212</v>
      </c>
    </row>
    <row r="122" spans="1:9">
      <c r="A122" s="50">
        <v>46267</v>
      </c>
      <c r="B122" s="51">
        <v>0.4763078703703704</v>
      </c>
      <c r="C122" t="s">
        <v>209</v>
      </c>
      <c r="D122" t="s">
        <v>36</v>
      </c>
      <c r="E122" t="s">
        <v>284</v>
      </c>
      <c r="F122" t="s">
        <v>285</v>
      </c>
      <c r="G122">
        <v>-9400</v>
      </c>
      <c r="H122" t="s">
        <v>207</v>
      </c>
      <c r="I122" t="s">
        <v>236</v>
      </c>
    </row>
    <row r="123" spans="1:9">
      <c r="A123" s="50">
        <v>46267</v>
      </c>
      <c r="B123" s="51">
        <v>0.4620833333333333</v>
      </c>
      <c r="C123" t="s">
        <v>209</v>
      </c>
      <c r="D123" t="s">
        <v>32</v>
      </c>
      <c r="E123" t="s">
        <v>218</v>
      </c>
      <c r="F123" t="s">
        <v>277</v>
      </c>
      <c r="G123">
        <v>-5900</v>
      </c>
      <c r="H123" t="s">
        <v>207</v>
      </c>
      <c r="I123" t="s">
        <v>236</v>
      </c>
    </row>
    <row r="124" spans="1:9">
      <c r="A124" s="50">
        <v>46267</v>
      </c>
      <c r="B124" s="51">
        <v>0.4471180555555556</v>
      </c>
      <c r="C124" t="s">
        <v>204</v>
      </c>
      <c r="D124" t="s">
        <v>241</v>
      </c>
      <c r="E124" t="s">
        <v>205</v>
      </c>
      <c r="F124" t="s">
        <v>7</v>
      </c>
      <c r="G124">
        <v>-400000</v>
      </c>
      <c r="H124" t="s">
        <v>207</v>
      </c>
      <c r="I124" t="s">
        <v>61</v>
      </c>
    </row>
    <row r="125" spans="1:9">
      <c r="A125" s="50">
        <v>46267</v>
      </c>
      <c r="B125" s="51">
        <v>0.4467939814814815</v>
      </c>
      <c r="C125" t="s">
        <v>204</v>
      </c>
      <c r="D125" t="s">
        <v>204</v>
      </c>
      <c r="E125" t="s">
        <v>205</v>
      </c>
      <c r="F125" t="s">
        <v>319</v>
      </c>
      <c r="G125">
        <v>-200000</v>
      </c>
      <c r="H125" t="s">
        <v>207</v>
      </c>
      <c r="I125" t="s">
        <v>61</v>
      </c>
    </row>
    <row r="126" spans="1:9">
      <c r="A126" s="50">
        <v>46267</v>
      </c>
      <c r="B126" s="51">
        <v>0.3842824074074074</v>
      </c>
      <c r="C126" t="s">
        <v>204</v>
      </c>
      <c r="D126" t="s">
        <v>274</v>
      </c>
      <c r="E126" t="s">
        <v>205</v>
      </c>
      <c r="F126" t="s">
        <v>320</v>
      </c>
      <c r="G126">
        <v>380000</v>
      </c>
      <c r="H126" t="s">
        <v>207</v>
      </c>
      <c r="I126" t="s">
        <v>21</v>
      </c>
    </row>
    <row r="127" spans="1:9">
      <c r="A127" s="50">
        <v>46267</v>
      </c>
      <c r="B127" s="51">
        <v>0.3842824074074074</v>
      </c>
      <c r="C127" t="s">
        <v>204</v>
      </c>
      <c r="D127" t="s">
        <v>241</v>
      </c>
      <c r="E127" t="s">
        <v>205</v>
      </c>
      <c r="F127" t="s">
        <v>7</v>
      </c>
      <c r="G127">
        <v>138340</v>
      </c>
      <c r="H127" t="s">
        <v>207</v>
      </c>
      <c r="I127" t="s">
        <v>57</v>
      </c>
    </row>
    <row r="128" spans="1:9">
      <c r="A128" s="50">
        <v>46267</v>
      </c>
      <c r="B128" s="51">
        <v>0.2959259259259259</v>
      </c>
      <c r="C128" t="s">
        <v>209</v>
      </c>
      <c r="D128" t="s">
        <v>32</v>
      </c>
      <c r="E128" t="s">
        <v>220</v>
      </c>
      <c r="F128" t="s">
        <v>221</v>
      </c>
      <c r="G128">
        <v>-5000</v>
      </c>
      <c r="H128" t="s">
        <v>207</v>
      </c>
      <c r="I128" t="s">
        <v>54</v>
      </c>
    </row>
    <row r="129" spans="1:9">
      <c r="A129" s="50">
        <v>46267</v>
      </c>
      <c r="B129" s="51">
        <v>0.1368055555555556</v>
      </c>
      <c r="C129" t="s">
        <v>213</v>
      </c>
      <c r="D129" t="s">
        <v>20</v>
      </c>
      <c r="E129" t="s">
        <v>205</v>
      </c>
      <c r="F129" t="s">
        <v>321</v>
      </c>
      <c r="G129">
        <v>30000</v>
      </c>
      <c r="H129" t="s">
        <v>207</v>
      </c>
      <c r="I129" t="s">
        <v>47</v>
      </c>
    </row>
    <row r="130" spans="1:9">
      <c r="A130" s="50">
        <v>46267</v>
      </c>
      <c r="B130" s="51">
        <v>0.07296296296296297</v>
      </c>
      <c r="C130" t="s">
        <v>209</v>
      </c>
      <c r="D130" t="s">
        <v>32</v>
      </c>
      <c r="E130" t="s">
        <v>218</v>
      </c>
      <c r="F130" t="s">
        <v>277</v>
      </c>
      <c r="G130">
        <v>-9630</v>
      </c>
      <c r="H130" t="s">
        <v>207</v>
      </c>
      <c r="I130" t="s">
        <v>236</v>
      </c>
    </row>
    <row r="131" spans="1:9">
      <c r="A131" s="50">
        <v>46267</v>
      </c>
      <c r="B131" s="51">
        <v>0.07162037037037038</v>
      </c>
      <c r="C131" t="s">
        <v>209</v>
      </c>
      <c r="D131" t="s">
        <v>32</v>
      </c>
      <c r="E131" t="s">
        <v>218</v>
      </c>
      <c r="F131" t="s">
        <v>286</v>
      </c>
      <c r="G131">
        <v>-19600</v>
      </c>
      <c r="H131" t="s">
        <v>207</v>
      </c>
      <c r="I131" t="s">
        <v>212</v>
      </c>
    </row>
    <row r="132" spans="1:9">
      <c r="A132" s="50">
        <v>46267</v>
      </c>
      <c r="B132" s="51">
        <v>0.06905092592592593</v>
      </c>
      <c r="C132" t="s">
        <v>209</v>
      </c>
      <c r="D132" t="s">
        <v>32</v>
      </c>
      <c r="E132" t="s">
        <v>218</v>
      </c>
      <c r="F132" t="s">
        <v>286</v>
      </c>
      <c r="G132">
        <v>-16700</v>
      </c>
      <c r="H132" t="s">
        <v>207</v>
      </c>
      <c r="I132" t="s">
        <v>212</v>
      </c>
    </row>
    <row r="133" spans="1:9">
      <c r="A133" s="50">
        <v>46267</v>
      </c>
      <c r="B133" s="51">
        <v>0.05208333333333334</v>
      </c>
      <c r="C133" t="s">
        <v>209</v>
      </c>
      <c r="D133" t="s">
        <v>32</v>
      </c>
      <c r="E133" t="s">
        <v>218</v>
      </c>
      <c r="F133" t="s">
        <v>288</v>
      </c>
      <c r="G133">
        <v>-15960</v>
      </c>
      <c r="H133" t="s">
        <v>207</v>
      </c>
      <c r="I133" t="s">
        <v>236</v>
      </c>
    </row>
    <row r="134" spans="1:9">
      <c r="A134" s="50">
        <v>46266</v>
      </c>
      <c r="B134" s="51">
        <v>0.7241319444444444</v>
      </c>
      <c r="C134" t="s">
        <v>204</v>
      </c>
      <c r="D134" t="s">
        <v>241</v>
      </c>
      <c r="E134" t="s">
        <v>205</v>
      </c>
      <c r="F134" t="s">
        <v>322</v>
      </c>
      <c r="G134">
        <v>574000</v>
      </c>
      <c r="H134" t="s">
        <v>207</v>
      </c>
      <c r="I134" t="s">
        <v>21</v>
      </c>
    </row>
    <row r="135" spans="1:9">
      <c r="A135" s="50">
        <v>46266</v>
      </c>
      <c r="B135" s="51">
        <v>0.6265625</v>
      </c>
      <c r="C135" t="s">
        <v>209</v>
      </c>
      <c r="D135" t="s">
        <v>32</v>
      </c>
      <c r="E135" t="s">
        <v>220</v>
      </c>
      <c r="F135" t="s">
        <v>323</v>
      </c>
      <c r="G135">
        <v>-5000</v>
      </c>
      <c r="H135" t="s">
        <v>207</v>
      </c>
      <c r="I135" t="s">
        <v>236</v>
      </c>
    </row>
    <row r="136" spans="1:9">
      <c r="A136" s="50">
        <v>46266</v>
      </c>
      <c r="B136" s="51">
        <v>0.5921990740740741</v>
      </c>
      <c r="C136" t="s">
        <v>204</v>
      </c>
      <c r="D136" t="s">
        <v>204</v>
      </c>
      <c r="E136" t="s">
        <v>205</v>
      </c>
      <c r="F136" t="s">
        <v>58</v>
      </c>
      <c r="G136">
        <v>-2774768</v>
      </c>
      <c r="H136" t="s">
        <v>207</v>
      </c>
      <c r="I136" t="s">
        <v>58</v>
      </c>
    </row>
    <row r="137" spans="1:9">
      <c r="A137" s="50">
        <v>46266</v>
      </c>
      <c r="B137" s="51">
        <v>0.5789583333333334</v>
      </c>
      <c r="C137" t="s">
        <v>204</v>
      </c>
      <c r="D137" t="s">
        <v>204</v>
      </c>
      <c r="E137" t="s">
        <v>205</v>
      </c>
      <c r="F137" t="s">
        <v>324</v>
      </c>
      <c r="G137">
        <v>96270</v>
      </c>
      <c r="H137" t="s">
        <v>207</v>
      </c>
      <c r="I137" t="s">
        <v>21</v>
      </c>
    </row>
    <row r="138" spans="1:9">
      <c r="A138" s="50">
        <v>46266</v>
      </c>
      <c r="B138" s="51">
        <v>0.5659143518518519</v>
      </c>
      <c r="C138" t="s">
        <v>204</v>
      </c>
      <c r="D138" t="s">
        <v>67</v>
      </c>
      <c r="E138" t="s">
        <v>205</v>
      </c>
      <c r="F138" t="s">
        <v>325</v>
      </c>
      <c r="G138">
        <v>70870</v>
      </c>
      <c r="H138" t="s">
        <v>207</v>
      </c>
      <c r="I138" t="s">
        <v>21</v>
      </c>
    </row>
    <row r="139" spans="1:9">
      <c r="A139" s="50">
        <v>46266</v>
      </c>
      <c r="B139" s="51">
        <v>0.5560300925925926</v>
      </c>
      <c r="C139" t="s">
        <v>204</v>
      </c>
      <c r="D139" t="s">
        <v>204</v>
      </c>
      <c r="E139" t="s">
        <v>205</v>
      </c>
      <c r="F139" t="s">
        <v>326</v>
      </c>
      <c r="G139">
        <v>96270</v>
      </c>
      <c r="H139" t="s">
        <v>207</v>
      </c>
      <c r="I139" t="s">
        <v>208</v>
      </c>
    </row>
    <row r="140" spans="1:9">
      <c r="A140" s="50">
        <v>46266</v>
      </c>
      <c r="B140" s="51">
        <v>0.5183796296296296</v>
      </c>
      <c r="C140" t="s">
        <v>209</v>
      </c>
      <c r="D140" t="s">
        <v>32</v>
      </c>
      <c r="E140" t="s">
        <v>218</v>
      </c>
      <c r="F140" t="s">
        <v>286</v>
      </c>
      <c r="G140">
        <v>-25600</v>
      </c>
      <c r="H140" t="s">
        <v>207</v>
      </c>
      <c r="I140" t="s">
        <v>212</v>
      </c>
    </row>
    <row r="141" spans="1:9">
      <c r="A141" s="50">
        <v>46266</v>
      </c>
      <c r="B141" s="51">
        <v>0.4710995370370371</v>
      </c>
      <c r="C141" t="s">
        <v>209</v>
      </c>
      <c r="D141" t="s">
        <v>32</v>
      </c>
      <c r="E141" t="s">
        <v>218</v>
      </c>
      <c r="F141" t="s">
        <v>277</v>
      </c>
      <c r="G141">
        <v>-7900</v>
      </c>
      <c r="H141" t="s">
        <v>207</v>
      </c>
      <c r="I141" t="s">
        <v>236</v>
      </c>
    </row>
    <row r="142" spans="1:9">
      <c r="A142" s="50">
        <v>46266</v>
      </c>
      <c r="B142" s="51">
        <v>0.4587731481481481</v>
      </c>
      <c r="C142" t="s">
        <v>209</v>
      </c>
      <c r="D142" t="s">
        <v>25</v>
      </c>
      <c r="E142" t="s">
        <v>232</v>
      </c>
      <c r="F142" t="s">
        <v>233</v>
      </c>
      <c r="G142">
        <v>-11400</v>
      </c>
      <c r="H142" t="s">
        <v>207</v>
      </c>
      <c r="I142" t="s">
        <v>208</v>
      </c>
    </row>
    <row r="143" spans="1:9">
      <c r="A143" s="50">
        <v>46266</v>
      </c>
      <c r="B143" s="51">
        <v>0.4085300925925926</v>
      </c>
      <c r="C143" t="s">
        <v>209</v>
      </c>
      <c r="D143" t="s">
        <v>32</v>
      </c>
      <c r="E143" t="s">
        <v>218</v>
      </c>
      <c r="F143" t="s">
        <v>327</v>
      </c>
      <c r="G143">
        <v>-2900</v>
      </c>
      <c r="H143" t="s">
        <v>207</v>
      </c>
      <c r="I143" t="s">
        <v>230</v>
      </c>
    </row>
    <row r="144" spans="1:9">
      <c r="A144" s="50">
        <v>46266</v>
      </c>
      <c r="B144" s="51">
        <v>0.3812847222222222</v>
      </c>
      <c r="C144" t="s">
        <v>209</v>
      </c>
      <c r="D144" t="s">
        <v>32</v>
      </c>
      <c r="E144" t="s">
        <v>218</v>
      </c>
      <c r="F144" t="s">
        <v>286</v>
      </c>
      <c r="G144">
        <v>-62050</v>
      </c>
      <c r="H144" t="s">
        <v>207</v>
      </c>
      <c r="I144" t="s">
        <v>212</v>
      </c>
    </row>
    <row r="145" spans="1:9">
      <c r="A145" s="50">
        <v>46266</v>
      </c>
      <c r="B145" s="51">
        <v>0.3749652777777778</v>
      </c>
      <c r="C145" t="s">
        <v>209</v>
      </c>
      <c r="D145" t="s">
        <v>33</v>
      </c>
      <c r="E145" t="s">
        <v>328</v>
      </c>
      <c r="F145" t="s">
        <v>329</v>
      </c>
      <c r="G145">
        <v>-51840</v>
      </c>
      <c r="H145" t="s">
        <v>207</v>
      </c>
      <c r="I145" t="s">
        <v>217</v>
      </c>
    </row>
    <row r="146" spans="1:9">
      <c r="A146" s="50">
        <v>46266</v>
      </c>
      <c r="B146" s="51">
        <v>0.2959143518518518</v>
      </c>
      <c r="C146" t="s">
        <v>209</v>
      </c>
      <c r="D146" t="s">
        <v>32</v>
      </c>
      <c r="E146" t="s">
        <v>220</v>
      </c>
      <c r="F146" t="s">
        <v>221</v>
      </c>
      <c r="G146">
        <v>-10000</v>
      </c>
      <c r="H146" t="s">
        <v>207</v>
      </c>
      <c r="I146" t="s">
        <v>54</v>
      </c>
    </row>
    <row r="147" spans="1:9">
      <c r="A147" s="50">
        <v>46265</v>
      </c>
      <c r="B147" s="51">
        <v>0.7630092592592592</v>
      </c>
      <c r="C147" t="s">
        <v>209</v>
      </c>
      <c r="D147" t="s">
        <v>25</v>
      </c>
      <c r="E147" t="s">
        <v>330</v>
      </c>
      <c r="F147" t="s">
        <v>331</v>
      </c>
      <c r="G147">
        <v>-1875232</v>
      </c>
      <c r="H147" t="s">
        <v>207</v>
      </c>
      <c r="I147" t="s">
        <v>52</v>
      </c>
    </row>
    <row r="148" spans="1:9">
      <c r="A148" s="50">
        <v>46265</v>
      </c>
      <c r="B148" s="51">
        <v>0.7368171296296296</v>
      </c>
      <c r="C148" t="s">
        <v>209</v>
      </c>
      <c r="D148" t="s">
        <v>30</v>
      </c>
      <c r="E148" t="s">
        <v>332</v>
      </c>
      <c r="F148" t="s">
        <v>333</v>
      </c>
      <c r="G148">
        <v>-5900</v>
      </c>
      <c r="H148" t="s">
        <v>207</v>
      </c>
      <c r="I148" t="s">
        <v>236</v>
      </c>
    </row>
    <row r="149" spans="1:9">
      <c r="A149" s="50">
        <v>46265</v>
      </c>
      <c r="B149" s="51">
        <v>0.6790046296296296</v>
      </c>
      <c r="C149" t="s">
        <v>209</v>
      </c>
      <c r="D149" t="s">
        <v>32</v>
      </c>
      <c r="E149" t="s">
        <v>218</v>
      </c>
      <c r="F149" t="s">
        <v>317</v>
      </c>
      <c r="G149">
        <v>362000</v>
      </c>
      <c r="H149" t="s">
        <v>207</v>
      </c>
      <c r="I149" t="s">
        <v>236</v>
      </c>
    </row>
    <row r="150" spans="1:9">
      <c r="A150" s="50">
        <v>46265</v>
      </c>
      <c r="B150" s="51">
        <v>0.6779282407407408</v>
      </c>
      <c r="C150" t="s">
        <v>209</v>
      </c>
      <c r="D150" t="s">
        <v>32</v>
      </c>
      <c r="E150" t="s">
        <v>218</v>
      </c>
      <c r="F150" t="s">
        <v>317</v>
      </c>
      <c r="G150">
        <v>-362000</v>
      </c>
      <c r="H150" t="s">
        <v>207</v>
      </c>
      <c r="I150" t="s">
        <v>236</v>
      </c>
    </row>
    <row r="151" spans="1:9">
      <c r="A151" s="50">
        <v>46265</v>
      </c>
      <c r="B151" s="51">
        <v>0.5895138888888889</v>
      </c>
      <c r="C151" t="s">
        <v>209</v>
      </c>
      <c r="D151" t="s">
        <v>34</v>
      </c>
      <c r="E151" t="s">
        <v>334</v>
      </c>
      <c r="F151" t="s">
        <v>335</v>
      </c>
      <c r="G151">
        <v>-50000</v>
      </c>
      <c r="H151" t="s">
        <v>207</v>
      </c>
      <c r="I151" t="s">
        <v>236</v>
      </c>
    </row>
    <row r="152" spans="1:9">
      <c r="A152" s="50">
        <v>46265</v>
      </c>
      <c r="B152" s="51">
        <v>0.4572337962962963</v>
      </c>
      <c r="C152" t="s">
        <v>209</v>
      </c>
      <c r="D152" t="s">
        <v>32</v>
      </c>
      <c r="E152" t="s">
        <v>218</v>
      </c>
      <c r="F152" t="s">
        <v>268</v>
      </c>
      <c r="G152">
        <v>-8330</v>
      </c>
      <c r="H152" t="s">
        <v>207</v>
      </c>
      <c r="I152" t="s">
        <v>269</v>
      </c>
    </row>
    <row r="153" spans="1:9">
      <c r="A153" s="50">
        <v>46265</v>
      </c>
      <c r="B153" s="51">
        <v>0.2957523148148148</v>
      </c>
      <c r="C153" t="s">
        <v>209</v>
      </c>
      <c r="D153" t="s">
        <v>32</v>
      </c>
      <c r="E153" t="s">
        <v>220</v>
      </c>
      <c r="F153" t="s">
        <v>221</v>
      </c>
      <c r="G153">
        <v>-5000</v>
      </c>
      <c r="H153" t="s">
        <v>207</v>
      </c>
      <c r="I153" t="s">
        <v>54</v>
      </c>
    </row>
    <row r="154" spans="1:9">
      <c r="A154" s="50">
        <v>46264</v>
      </c>
      <c r="B154" s="51">
        <v>0.9470833333333334</v>
      </c>
      <c r="C154" t="s">
        <v>209</v>
      </c>
      <c r="D154" t="s">
        <v>32</v>
      </c>
      <c r="E154" t="s">
        <v>218</v>
      </c>
      <c r="F154" t="s">
        <v>277</v>
      </c>
      <c r="G154">
        <v>-17680</v>
      </c>
      <c r="H154" t="s">
        <v>207</v>
      </c>
      <c r="I154" t="s">
        <v>236</v>
      </c>
    </row>
    <row r="155" spans="1:9">
      <c r="A155" s="50">
        <v>46264</v>
      </c>
      <c r="B155" s="51">
        <v>0.9095486111111111</v>
      </c>
      <c r="C155" t="s">
        <v>209</v>
      </c>
      <c r="D155" t="s">
        <v>30</v>
      </c>
      <c r="E155" t="s">
        <v>332</v>
      </c>
      <c r="F155" t="s">
        <v>336</v>
      </c>
      <c r="G155">
        <v>-7800</v>
      </c>
      <c r="H155" t="s">
        <v>207</v>
      </c>
      <c r="I155" t="s">
        <v>217</v>
      </c>
    </row>
    <row r="156" spans="1:9">
      <c r="A156" s="50">
        <v>46264</v>
      </c>
      <c r="B156" s="51">
        <v>0.6353124999999999</v>
      </c>
      <c r="C156" t="s">
        <v>209</v>
      </c>
      <c r="D156" t="s">
        <v>36</v>
      </c>
      <c r="E156" t="s">
        <v>284</v>
      </c>
      <c r="F156" t="s">
        <v>337</v>
      </c>
      <c r="G156">
        <v>-13300</v>
      </c>
      <c r="H156" t="s">
        <v>207</v>
      </c>
      <c r="I156" t="s">
        <v>236</v>
      </c>
    </row>
    <row r="157" spans="1:9">
      <c r="A157" s="50">
        <v>46264</v>
      </c>
      <c r="B157" s="51">
        <v>0.6178703703703704</v>
      </c>
      <c r="C157" t="s">
        <v>209</v>
      </c>
      <c r="D157" t="s">
        <v>28</v>
      </c>
      <c r="E157" t="s">
        <v>313</v>
      </c>
      <c r="F157" t="s">
        <v>338</v>
      </c>
      <c r="G157">
        <v>-4200</v>
      </c>
      <c r="H157" t="s">
        <v>207</v>
      </c>
      <c r="I157" t="s">
        <v>318</v>
      </c>
    </row>
    <row r="158" spans="1:9">
      <c r="A158" s="50">
        <v>46264</v>
      </c>
      <c r="B158" s="51">
        <v>0.5648726851851852</v>
      </c>
      <c r="C158" t="s">
        <v>209</v>
      </c>
      <c r="D158" t="s">
        <v>26</v>
      </c>
      <c r="E158" t="s">
        <v>339</v>
      </c>
      <c r="F158" t="s">
        <v>340</v>
      </c>
      <c r="G158">
        <v>-43200</v>
      </c>
      <c r="H158" t="s">
        <v>207</v>
      </c>
      <c r="I158" t="s">
        <v>318</v>
      </c>
    </row>
    <row r="159" spans="1:9">
      <c r="A159" s="50">
        <v>46264</v>
      </c>
      <c r="B159" s="51">
        <v>0.5451273148148148</v>
      </c>
      <c r="C159" t="s">
        <v>209</v>
      </c>
      <c r="D159" t="s">
        <v>30</v>
      </c>
      <c r="E159" t="s">
        <v>227</v>
      </c>
      <c r="F159" t="s">
        <v>341</v>
      </c>
      <c r="G159">
        <v>-215000</v>
      </c>
      <c r="H159" t="s">
        <v>207</v>
      </c>
      <c r="I159" t="s">
        <v>318</v>
      </c>
    </row>
    <row r="160" spans="1:9">
      <c r="A160" s="50">
        <v>46264</v>
      </c>
      <c r="B160" s="51">
        <v>0.4226851851851852</v>
      </c>
      <c r="C160" t="s">
        <v>209</v>
      </c>
      <c r="D160" t="s">
        <v>25</v>
      </c>
      <c r="E160" t="s">
        <v>342</v>
      </c>
      <c r="F160" t="s">
        <v>343</v>
      </c>
      <c r="G160">
        <v>-38806</v>
      </c>
      <c r="H160" t="s">
        <v>207</v>
      </c>
      <c r="I160" t="s">
        <v>217</v>
      </c>
    </row>
    <row r="161" spans="1:9">
      <c r="A161" s="50">
        <v>46264</v>
      </c>
      <c r="B161" s="51">
        <v>0.2956481481481482</v>
      </c>
      <c r="C161" t="s">
        <v>209</v>
      </c>
      <c r="D161" t="s">
        <v>32</v>
      </c>
      <c r="E161" t="s">
        <v>220</v>
      </c>
      <c r="F161" t="s">
        <v>221</v>
      </c>
      <c r="G161">
        <v>-10000</v>
      </c>
      <c r="H161" t="s">
        <v>207</v>
      </c>
      <c r="I161" t="s">
        <v>54</v>
      </c>
    </row>
    <row r="162" spans="1:9">
      <c r="A162" s="50">
        <v>46263</v>
      </c>
      <c r="B162" s="51">
        <v>0.9923611111111111</v>
      </c>
      <c r="C162" t="s">
        <v>209</v>
      </c>
      <c r="D162" t="s">
        <v>25</v>
      </c>
      <c r="E162" t="s">
        <v>342</v>
      </c>
      <c r="F162" t="s">
        <v>344</v>
      </c>
      <c r="G162">
        <v>-60840</v>
      </c>
      <c r="H162" t="s">
        <v>207</v>
      </c>
      <c r="I162" t="s">
        <v>217</v>
      </c>
    </row>
    <row r="163" spans="1:9">
      <c r="A163" s="50">
        <v>46263</v>
      </c>
      <c r="B163" s="51">
        <v>0.8888310185185185</v>
      </c>
      <c r="C163" t="s">
        <v>209</v>
      </c>
      <c r="D163" t="s">
        <v>28</v>
      </c>
      <c r="E163" t="s">
        <v>313</v>
      </c>
      <c r="F163" t="s">
        <v>345</v>
      </c>
      <c r="G163">
        <v>-18560</v>
      </c>
      <c r="H163" t="s">
        <v>207</v>
      </c>
      <c r="I163" t="s">
        <v>318</v>
      </c>
    </row>
    <row r="164" spans="1:9">
      <c r="A164" s="50">
        <v>46263</v>
      </c>
      <c r="B164" s="51">
        <v>0.8822106481481482</v>
      </c>
      <c r="C164" t="s">
        <v>209</v>
      </c>
      <c r="D164" t="s">
        <v>30</v>
      </c>
      <c r="E164" t="s">
        <v>311</v>
      </c>
      <c r="F164" t="s">
        <v>346</v>
      </c>
      <c r="G164">
        <v>-34000</v>
      </c>
      <c r="H164" t="s">
        <v>207</v>
      </c>
      <c r="I164" t="s">
        <v>318</v>
      </c>
    </row>
    <row r="165" spans="1:9">
      <c r="A165" s="50">
        <v>46263</v>
      </c>
      <c r="B165" s="51">
        <v>0.8821643518518518</v>
      </c>
      <c r="C165" t="s">
        <v>209</v>
      </c>
      <c r="D165" t="s">
        <v>30</v>
      </c>
      <c r="E165" t="s">
        <v>311</v>
      </c>
      <c r="F165" t="s">
        <v>347</v>
      </c>
      <c r="G165">
        <v>-240000</v>
      </c>
      <c r="H165" t="s">
        <v>207</v>
      </c>
      <c r="I165" t="s">
        <v>318</v>
      </c>
    </row>
    <row r="166" spans="1:9">
      <c r="A166" s="50">
        <v>46263</v>
      </c>
      <c r="B166" s="51">
        <v>0.7978587962962963</v>
      </c>
      <c r="C166" t="s">
        <v>209</v>
      </c>
      <c r="D166" t="s">
        <v>28</v>
      </c>
      <c r="E166" t="s">
        <v>249</v>
      </c>
      <c r="F166" t="s">
        <v>348</v>
      </c>
      <c r="G166">
        <v>-54020</v>
      </c>
      <c r="H166" t="s">
        <v>207</v>
      </c>
      <c r="I166" t="s">
        <v>230</v>
      </c>
    </row>
    <row r="167" spans="1:9">
      <c r="A167" s="50">
        <v>46263</v>
      </c>
      <c r="B167" s="51">
        <v>0.7793171296296296</v>
      </c>
      <c r="C167" t="s">
        <v>209</v>
      </c>
      <c r="D167" t="s">
        <v>29</v>
      </c>
      <c r="E167" t="s">
        <v>349</v>
      </c>
      <c r="F167" t="s">
        <v>350</v>
      </c>
      <c r="G167">
        <v>-9000</v>
      </c>
      <c r="H167" t="s">
        <v>207</v>
      </c>
      <c r="I167" t="s">
        <v>230</v>
      </c>
    </row>
    <row r="168" spans="1:9">
      <c r="A168" s="50">
        <v>46263</v>
      </c>
      <c r="B168" s="51">
        <v>0.7790393518518518</v>
      </c>
      <c r="C168" t="s">
        <v>209</v>
      </c>
      <c r="D168" t="s">
        <v>29</v>
      </c>
      <c r="E168" t="s">
        <v>349</v>
      </c>
      <c r="F168" t="s">
        <v>350</v>
      </c>
      <c r="G168">
        <v>-20000</v>
      </c>
      <c r="H168" t="s">
        <v>207</v>
      </c>
      <c r="I168" t="s">
        <v>230</v>
      </c>
    </row>
    <row r="169" spans="1:9">
      <c r="A169" s="50">
        <v>46263</v>
      </c>
      <c r="B169" s="51">
        <v>0.772974537037037</v>
      </c>
      <c r="C169" t="s">
        <v>209</v>
      </c>
      <c r="D169" t="s">
        <v>30</v>
      </c>
      <c r="E169" t="s">
        <v>351</v>
      </c>
      <c r="F169" t="s">
        <v>352</v>
      </c>
      <c r="G169">
        <v>-156000</v>
      </c>
      <c r="H169" t="s">
        <v>207</v>
      </c>
      <c r="I169" t="s">
        <v>230</v>
      </c>
    </row>
    <row r="170" spans="1:9">
      <c r="A170" s="50">
        <v>46263</v>
      </c>
      <c r="B170" s="51">
        <v>0.7214351851851852</v>
      </c>
      <c r="C170" t="s">
        <v>209</v>
      </c>
      <c r="D170" t="s">
        <v>36</v>
      </c>
      <c r="E170" t="s">
        <v>284</v>
      </c>
      <c r="F170" t="s">
        <v>353</v>
      </c>
      <c r="G170">
        <v>-23000</v>
      </c>
      <c r="H170" t="s">
        <v>207</v>
      </c>
      <c r="I170" t="s">
        <v>230</v>
      </c>
    </row>
    <row r="171" spans="1:9">
      <c r="A171" s="50">
        <v>46263</v>
      </c>
      <c r="B171" s="51">
        <v>0.7207986111111111</v>
      </c>
      <c r="C171" t="s">
        <v>209</v>
      </c>
      <c r="D171" t="s">
        <v>36</v>
      </c>
      <c r="E171" t="s">
        <v>284</v>
      </c>
      <c r="F171" t="s">
        <v>353</v>
      </c>
      <c r="G171">
        <v>-57700</v>
      </c>
      <c r="H171" t="s">
        <v>207</v>
      </c>
      <c r="I171" t="s">
        <v>230</v>
      </c>
    </row>
    <row r="172" spans="1:9">
      <c r="A172" s="50">
        <v>46263</v>
      </c>
      <c r="B172" s="51">
        <v>0.6269097222222222</v>
      </c>
      <c r="C172" t="s">
        <v>209</v>
      </c>
      <c r="D172" t="s">
        <v>26</v>
      </c>
      <c r="E172" t="s">
        <v>354</v>
      </c>
      <c r="F172" t="s">
        <v>355</v>
      </c>
      <c r="G172">
        <v>-1</v>
      </c>
      <c r="H172" t="s">
        <v>207</v>
      </c>
      <c r="I172" t="s">
        <v>301</v>
      </c>
    </row>
    <row r="173" spans="1:9">
      <c r="A173" s="50">
        <v>46263</v>
      </c>
      <c r="B173" s="51">
        <v>0.6269097222222222</v>
      </c>
      <c r="C173" t="s">
        <v>209</v>
      </c>
      <c r="D173" t="s">
        <v>26</v>
      </c>
      <c r="E173" t="s">
        <v>354</v>
      </c>
      <c r="F173" t="s">
        <v>355</v>
      </c>
      <c r="G173">
        <v>-10999</v>
      </c>
      <c r="H173" t="s">
        <v>207</v>
      </c>
      <c r="I173" t="s">
        <v>217</v>
      </c>
    </row>
    <row r="174" spans="1:9">
      <c r="A174" s="50">
        <v>46263</v>
      </c>
      <c r="B174" s="51">
        <v>0.5023958333333334</v>
      </c>
      <c r="C174" t="s">
        <v>209</v>
      </c>
      <c r="D174" t="s">
        <v>30</v>
      </c>
      <c r="E174" t="s">
        <v>257</v>
      </c>
      <c r="F174" t="s">
        <v>356</v>
      </c>
      <c r="G174">
        <v>-115400</v>
      </c>
      <c r="H174" t="s">
        <v>207</v>
      </c>
      <c r="I174" t="s">
        <v>217</v>
      </c>
    </row>
    <row r="175" spans="1:9">
      <c r="A175" s="50">
        <v>46263</v>
      </c>
      <c r="B175" s="51">
        <v>0.3222916666666666</v>
      </c>
      <c r="C175" t="s">
        <v>209</v>
      </c>
      <c r="D175" t="s">
        <v>36</v>
      </c>
      <c r="E175" t="s">
        <v>357</v>
      </c>
      <c r="F175" t="s">
        <v>358</v>
      </c>
      <c r="G175">
        <v>-6900</v>
      </c>
      <c r="H175" t="s">
        <v>207</v>
      </c>
      <c r="I175" t="s">
        <v>259</v>
      </c>
    </row>
    <row r="176" spans="1:9">
      <c r="A176" s="50">
        <v>46263</v>
      </c>
      <c r="B176" s="51">
        <v>0.2957986111111111</v>
      </c>
      <c r="C176" t="s">
        <v>209</v>
      </c>
      <c r="D176" t="s">
        <v>32</v>
      </c>
      <c r="E176" t="s">
        <v>220</v>
      </c>
      <c r="F176" t="s">
        <v>221</v>
      </c>
      <c r="G176">
        <v>-10000</v>
      </c>
      <c r="H176" t="s">
        <v>207</v>
      </c>
      <c r="I176" t="s">
        <v>54</v>
      </c>
    </row>
    <row r="177" spans="1:9">
      <c r="A177" s="50">
        <v>46263</v>
      </c>
      <c r="B177" s="51">
        <v>0.2778703703703704</v>
      </c>
      <c r="C177" t="s">
        <v>213</v>
      </c>
      <c r="D177" t="s">
        <v>17</v>
      </c>
      <c r="E177" t="s">
        <v>205</v>
      </c>
      <c r="F177" t="s">
        <v>359</v>
      </c>
      <c r="G177">
        <v>10</v>
      </c>
      <c r="H177" t="s">
        <v>207</v>
      </c>
      <c r="I177" t="s">
        <v>56</v>
      </c>
    </row>
    <row r="178" spans="1:9">
      <c r="A178" s="50">
        <v>46263</v>
      </c>
      <c r="B178" s="51">
        <v>0.2442361111111111</v>
      </c>
      <c r="C178" t="s">
        <v>213</v>
      </c>
      <c r="D178" t="s">
        <v>17</v>
      </c>
      <c r="E178" t="s">
        <v>205</v>
      </c>
      <c r="F178" t="s">
        <v>359</v>
      </c>
      <c r="G178">
        <v>39</v>
      </c>
      <c r="H178" t="s">
        <v>207</v>
      </c>
      <c r="I178" t="s">
        <v>21</v>
      </c>
    </row>
    <row r="179" spans="1:9">
      <c r="A179" s="50">
        <v>46263</v>
      </c>
      <c r="B179" s="51">
        <v>0.2404861111111111</v>
      </c>
      <c r="C179" t="s">
        <v>213</v>
      </c>
      <c r="D179" t="s">
        <v>17</v>
      </c>
      <c r="E179" t="s">
        <v>205</v>
      </c>
      <c r="F179" t="s">
        <v>359</v>
      </c>
      <c r="G179">
        <v>6</v>
      </c>
      <c r="H179" t="s">
        <v>207</v>
      </c>
      <c r="I179" t="s">
        <v>55</v>
      </c>
    </row>
    <row r="180" spans="1:9">
      <c r="A180" s="50">
        <v>46263</v>
      </c>
      <c r="B180" s="51">
        <v>0.190462962962963</v>
      </c>
      <c r="C180" t="s">
        <v>213</v>
      </c>
      <c r="D180" t="s">
        <v>17</v>
      </c>
      <c r="E180" t="s">
        <v>205</v>
      </c>
      <c r="F180" t="s">
        <v>359</v>
      </c>
      <c r="G180">
        <v>75</v>
      </c>
      <c r="H180" t="s">
        <v>207</v>
      </c>
      <c r="I180" t="s">
        <v>47</v>
      </c>
    </row>
    <row r="181" spans="1:9">
      <c r="A181" s="50">
        <v>46263</v>
      </c>
      <c r="B181" s="51">
        <v>0.1559722222222222</v>
      </c>
      <c r="C181" t="s">
        <v>213</v>
      </c>
      <c r="D181" t="s">
        <v>17</v>
      </c>
      <c r="E181" t="s">
        <v>205</v>
      </c>
      <c r="F181" t="s">
        <v>359</v>
      </c>
      <c r="G181">
        <v>109</v>
      </c>
      <c r="H181" t="s">
        <v>207</v>
      </c>
      <c r="I181" t="s">
        <v>58</v>
      </c>
    </row>
    <row r="182" spans="1:9">
      <c r="A182" s="50">
        <v>46263</v>
      </c>
      <c r="B182" s="51">
        <v>0.1212384259259259</v>
      </c>
      <c r="C182" t="s">
        <v>204</v>
      </c>
      <c r="D182" t="s">
        <v>237</v>
      </c>
      <c r="E182" t="s">
        <v>205</v>
      </c>
      <c r="F182" t="s">
        <v>360</v>
      </c>
      <c r="G182">
        <v>0</v>
      </c>
      <c r="H182" t="s">
        <v>207</v>
      </c>
      <c r="I182" t="s">
        <v>62</v>
      </c>
    </row>
    <row r="183" spans="1:9">
      <c r="A183" s="50">
        <v>46263</v>
      </c>
      <c r="B183" s="51">
        <v>0.1165972222222222</v>
      </c>
      <c r="C183" t="s">
        <v>204</v>
      </c>
      <c r="D183" t="s">
        <v>237</v>
      </c>
      <c r="E183" t="s">
        <v>205</v>
      </c>
      <c r="F183" t="s">
        <v>360</v>
      </c>
      <c r="G183">
        <v>0</v>
      </c>
      <c r="H183" t="s">
        <v>207</v>
      </c>
      <c r="I183" t="s">
        <v>60</v>
      </c>
    </row>
    <row r="184" spans="1:9">
      <c r="A184" s="50">
        <v>46263</v>
      </c>
      <c r="B184" s="51">
        <v>0.095</v>
      </c>
      <c r="C184" t="s">
        <v>204</v>
      </c>
      <c r="D184" t="s">
        <v>237</v>
      </c>
      <c r="E184" t="s">
        <v>205</v>
      </c>
      <c r="F184" t="s">
        <v>360</v>
      </c>
      <c r="G184">
        <v>0</v>
      </c>
      <c r="H184" t="s">
        <v>207</v>
      </c>
      <c r="I184" t="s">
        <v>48</v>
      </c>
    </row>
    <row r="185" spans="1:9">
      <c r="A185" s="50">
        <v>46263</v>
      </c>
      <c r="B185" s="51">
        <v>0.08105324074074075</v>
      </c>
      <c r="C185" t="s">
        <v>204</v>
      </c>
      <c r="D185" t="s">
        <v>237</v>
      </c>
      <c r="E185" t="s">
        <v>205</v>
      </c>
      <c r="F185" t="s">
        <v>360</v>
      </c>
      <c r="G185">
        <v>0</v>
      </c>
      <c r="H185" t="s">
        <v>207</v>
      </c>
      <c r="I185" t="s">
        <v>59</v>
      </c>
    </row>
    <row r="186" spans="1:9">
      <c r="A186" s="50">
        <v>46262</v>
      </c>
      <c r="B186" s="51">
        <v>0.7604282407407408</v>
      </c>
      <c r="C186" t="s">
        <v>209</v>
      </c>
      <c r="D186" t="s">
        <v>36</v>
      </c>
      <c r="E186" t="s">
        <v>357</v>
      </c>
      <c r="F186" t="s">
        <v>361</v>
      </c>
      <c r="G186">
        <v>-22000</v>
      </c>
      <c r="H186" t="s">
        <v>207</v>
      </c>
      <c r="I186" t="s">
        <v>230</v>
      </c>
    </row>
    <row r="187" spans="1:9">
      <c r="A187" s="50">
        <v>46262</v>
      </c>
      <c r="B187" s="51">
        <v>0.5398379629629629</v>
      </c>
      <c r="C187" t="s">
        <v>209</v>
      </c>
      <c r="D187" t="s">
        <v>32</v>
      </c>
      <c r="E187" t="s">
        <v>218</v>
      </c>
      <c r="F187" t="s">
        <v>293</v>
      </c>
      <c r="G187">
        <v>-2182</v>
      </c>
      <c r="H187" t="s">
        <v>207</v>
      </c>
      <c r="I187" t="s">
        <v>236</v>
      </c>
    </row>
    <row r="188" spans="1:9">
      <c r="A188" s="50">
        <v>46262</v>
      </c>
      <c r="B188" s="51">
        <v>0.5393865740740741</v>
      </c>
      <c r="C188" t="s">
        <v>209</v>
      </c>
      <c r="D188" t="s">
        <v>32</v>
      </c>
      <c r="E188" t="s">
        <v>218</v>
      </c>
      <c r="F188" t="s">
        <v>362</v>
      </c>
      <c r="G188">
        <v>-7990</v>
      </c>
      <c r="H188" t="s">
        <v>207</v>
      </c>
      <c r="I188" t="s">
        <v>236</v>
      </c>
    </row>
    <row r="189" spans="1:9">
      <c r="A189" s="50">
        <v>46262</v>
      </c>
      <c r="B189" s="51">
        <v>0.503449074074074</v>
      </c>
      <c r="C189" t="s">
        <v>209</v>
      </c>
      <c r="D189" t="s">
        <v>30</v>
      </c>
      <c r="E189" t="s">
        <v>227</v>
      </c>
      <c r="F189" t="s">
        <v>363</v>
      </c>
      <c r="G189">
        <v>-10000</v>
      </c>
      <c r="H189" t="s">
        <v>207</v>
      </c>
      <c r="I189" t="s">
        <v>318</v>
      </c>
    </row>
    <row r="190" spans="1:9">
      <c r="A190" s="50">
        <v>46262</v>
      </c>
      <c r="B190" s="51">
        <v>0.4525115740740741</v>
      </c>
      <c r="C190" t="s">
        <v>209</v>
      </c>
      <c r="D190" t="s">
        <v>32</v>
      </c>
      <c r="E190" t="s">
        <v>215</v>
      </c>
      <c r="F190" t="s">
        <v>364</v>
      </c>
      <c r="G190">
        <v>-100</v>
      </c>
      <c r="H190" t="s">
        <v>207</v>
      </c>
      <c r="I190" t="s">
        <v>301</v>
      </c>
    </row>
    <row r="191" spans="1:9">
      <c r="A191" s="50">
        <v>46262</v>
      </c>
      <c r="B191" s="51">
        <v>0.2955324074074074</v>
      </c>
      <c r="C191" t="s">
        <v>209</v>
      </c>
      <c r="D191" t="s">
        <v>32</v>
      </c>
      <c r="E191" t="s">
        <v>220</v>
      </c>
      <c r="F191" t="s">
        <v>221</v>
      </c>
      <c r="G191">
        <v>-10000</v>
      </c>
      <c r="H191" t="s">
        <v>207</v>
      </c>
      <c r="I191" t="s">
        <v>54</v>
      </c>
    </row>
    <row r="192" spans="1:9">
      <c r="A192" s="50">
        <v>46261</v>
      </c>
      <c r="B192" s="51">
        <v>0.8938425925925926</v>
      </c>
      <c r="C192" t="s">
        <v>204</v>
      </c>
      <c r="D192" t="s">
        <v>204</v>
      </c>
      <c r="E192" t="s">
        <v>205</v>
      </c>
      <c r="F192" t="s">
        <v>365</v>
      </c>
      <c r="G192">
        <v>18000</v>
      </c>
      <c r="H192" t="s">
        <v>207</v>
      </c>
      <c r="I192" t="s">
        <v>208</v>
      </c>
    </row>
    <row r="193" spans="1:9">
      <c r="A193" s="50">
        <v>46261</v>
      </c>
      <c r="B193" s="51">
        <v>0.8916782407407408</v>
      </c>
      <c r="C193" t="s">
        <v>209</v>
      </c>
      <c r="D193" t="s">
        <v>30</v>
      </c>
      <c r="E193" t="s">
        <v>366</v>
      </c>
      <c r="F193" t="s">
        <v>367</v>
      </c>
      <c r="G193">
        <v>-16500</v>
      </c>
      <c r="H193" t="s">
        <v>207</v>
      </c>
      <c r="I193" t="s">
        <v>236</v>
      </c>
    </row>
    <row r="194" spans="1:9">
      <c r="A194" s="50">
        <v>46261</v>
      </c>
      <c r="B194" s="51">
        <v>0.6147569444444444</v>
      </c>
      <c r="C194" t="s">
        <v>209</v>
      </c>
      <c r="D194" t="s">
        <v>36</v>
      </c>
      <c r="E194" t="s">
        <v>284</v>
      </c>
      <c r="F194" t="s">
        <v>368</v>
      </c>
      <c r="G194">
        <v>-18300</v>
      </c>
      <c r="H194" t="s">
        <v>207</v>
      </c>
      <c r="I194" t="s">
        <v>369</v>
      </c>
    </row>
    <row r="195" spans="1:9">
      <c r="A195" s="50">
        <v>46261</v>
      </c>
      <c r="B195" s="51">
        <v>0.5365972222222222</v>
      </c>
      <c r="C195" t="s">
        <v>204</v>
      </c>
      <c r="D195" t="s">
        <v>237</v>
      </c>
      <c r="E195" t="s">
        <v>205</v>
      </c>
      <c r="F195" t="s">
        <v>370</v>
      </c>
      <c r="G195">
        <v>750</v>
      </c>
      <c r="H195" t="s">
        <v>207</v>
      </c>
      <c r="I195" t="s">
        <v>47</v>
      </c>
    </row>
    <row r="196" spans="1:9">
      <c r="A196" s="50">
        <v>46261</v>
      </c>
      <c r="B196" s="51">
        <v>0.4962962962962963</v>
      </c>
      <c r="C196" t="s">
        <v>209</v>
      </c>
      <c r="D196" t="s">
        <v>30</v>
      </c>
      <c r="E196" t="s">
        <v>366</v>
      </c>
      <c r="F196" t="s">
        <v>371</v>
      </c>
      <c r="G196">
        <v>-8500</v>
      </c>
      <c r="H196" t="s">
        <v>207</v>
      </c>
      <c r="I196" t="s">
        <v>236</v>
      </c>
    </row>
    <row r="197" spans="1:9">
      <c r="A197" s="50">
        <v>46261</v>
      </c>
      <c r="B197" s="51">
        <v>0.2958217592592592</v>
      </c>
      <c r="C197" t="s">
        <v>209</v>
      </c>
      <c r="D197" t="s">
        <v>32</v>
      </c>
      <c r="E197" t="s">
        <v>220</v>
      </c>
      <c r="F197" t="s">
        <v>221</v>
      </c>
      <c r="G197">
        <v>-10000</v>
      </c>
      <c r="H197" t="s">
        <v>207</v>
      </c>
      <c r="I197" t="s">
        <v>54</v>
      </c>
    </row>
    <row r="198" spans="1:9">
      <c r="A198" s="50">
        <v>46260</v>
      </c>
      <c r="B198" s="51">
        <v>0.7031481481481482</v>
      </c>
      <c r="C198" t="s">
        <v>209</v>
      </c>
      <c r="D198" t="s">
        <v>25</v>
      </c>
      <c r="E198" t="s">
        <v>253</v>
      </c>
      <c r="F198" t="s">
        <v>372</v>
      </c>
      <c r="G198">
        <v>-3750</v>
      </c>
      <c r="H198" t="s">
        <v>207</v>
      </c>
      <c r="I198" t="s">
        <v>217</v>
      </c>
    </row>
    <row r="199" spans="1:9">
      <c r="A199" s="50">
        <v>46260</v>
      </c>
      <c r="B199" s="51">
        <v>0.4796875</v>
      </c>
      <c r="C199" t="s">
        <v>209</v>
      </c>
      <c r="D199" t="s">
        <v>36</v>
      </c>
      <c r="E199" t="s">
        <v>284</v>
      </c>
      <c r="F199" t="s">
        <v>285</v>
      </c>
      <c r="G199">
        <v>-9300</v>
      </c>
      <c r="H199" t="s">
        <v>207</v>
      </c>
      <c r="I199" t="s">
        <v>236</v>
      </c>
    </row>
    <row r="200" spans="1:9">
      <c r="A200" s="50">
        <v>46260</v>
      </c>
      <c r="B200" s="51">
        <v>0.4496643518518518</v>
      </c>
      <c r="C200" t="s">
        <v>209</v>
      </c>
      <c r="D200" t="s">
        <v>32</v>
      </c>
      <c r="E200" t="s">
        <v>218</v>
      </c>
      <c r="F200" t="s">
        <v>288</v>
      </c>
      <c r="G200">
        <v>-16500</v>
      </c>
      <c r="H200" t="s">
        <v>207</v>
      </c>
      <c r="I200" t="s">
        <v>236</v>
      </c>
    </row>
    <row r="201" spans="1:9">
      <c r="A201" s="50">
        <v>46260</v>
      </c>
      <c r="B201" s="51">
        <v>0.3977777777777778</v>
      </c>
      <c r="C201" t="s">
        <v>209</v>
      </c>
      <c r="D201" t="s">
        <v>32</v>
      </c>
      <c r="E201" t="s">
        <v>215</v>
      </c>
      <c r="F201" t="s">
        <v>373</v>
      </c>
      <c r="G201">
        <v>-7900</v>
      </c>
      <c r="H201" t="s">
        <v>207</v>
      </c>
      <c r="I201" t="s">
        <v>301</v>
      </c>
    </row>
    <row r="202" spans="1:9">
      <c r="A202" s="50">
        <v>46260</v>
      </c>
      <c r="B202" s="51">
        <v>0.2955555555555556</v>
      </c>
      <c r="C202" t="s">
        <v>209</v>
      </c>
      <c r="D202" t="s">
        <v>32</v>
      </c>
      <c r="E202" t="s">
        <v>220</v>
      </c>
      <c r="F202" t="s">
        <v>221</v>
      </c>
      <c r="G202">
        <v>-10000</v>
      </c>
      <c r="H202" t="s">
        <v>207</v>
      </c>
      <c r="I202" t="s">
        <v>54</v>
      </c>
    </row>
    <row r="203" spans="1:9">
      <c r="A203" s="50">
        <v>46259</v>
      </c>
      <c r="B203" s="51">
        <v>0.8741898148148148</v>
      </c>
      <c r="C203" t="s">
        <v>209</v>
      </c>
      <c r="D203" t="s">
        <v>32</v>
      </c>
      <c r="E203" t="s">
        <v>218</v>
      </c>
      <c r="F203" t="s">
        <v>317</v>
      </c>
      <c r="G203">
        <v>-399000</v>
      </c>
      <c r="H203" t="s">
        <v>207</v>
      </c>
      <c r="I203" t="s">
        <v>369</v>
      </c>
    </row>
    <row r="204" spans="1:9">
      <c r="A204" s="50">
        <v>46259</v>
      </c>
      <c r="B204" s="51">
        <v>0.7510069444444445</v>
      </c>
      <c r="C204" t="s">
        <v>209</v>
      </c>
      <c r="D204" t="s">
        <v>25</v>
      </c>
      <c r="E204" t="s">
        <v>253</v>
      </c>
      <c r="F204" t="s">
        <v>374</v>
      </c>
      <c r="G204">
        <v>-4600</v>
      </c>
      <c r="H204" t="s">
        <v>207</v>
      </c>
      <c r="I204" t="s">
        <v>61</v>
      </c>
    </row>
    <row r="205" spans="1:9">
      <c r="A205" s="50">
        <v>46259</v>
      </c>
      <c r="B205" s="51">
        <v>0.6145023148148148</v>
      </c>
      <c r="C205" t="s">
        <v>204</v>
      </c>
      <c r="D205" t="s">
        <v>237</v>
      </c>
      <c r="E205" t="s">
        <v>205</v>
      </c>
      <c r="F205" t="s">
        <v>375</v>
      </c>
      <c r="G205">
        <v>4600</v>
      </c>
      <c r="H205" t="s">
        <v>207</v>
      </c>
      <c r="I205" t="s">
        <v>61</v>
      </c>
    </row>
    <row r="206" spans="1:9">
      <c r="A206" s="50">
        <v>46259</v>
      </c>
      <c r="B206" s="51">
        <v>0.2959259259259259</v>
      </c>
      <c r="C206" t="s">
        <v>209</v>
      </c>
      <c r="D206" t="s">
        <v>32</v>
      </c>
      <c r="E206" t="s">
        <v>220</v>
      </c>
      <c r="F206" t="s">
        <v>221</v>
      </c>
      <c r="G206">
        <v>-10000</v>
      </c>
      <c r="H206" t="s">
        <v>207</v>
      </c>
      <c r="I206" t="s">
        <v>54</v>
      </c>
    </row>
    <row r="207" spans="1:9">
      <c r="A207" s="50">
        <v>46258</v>
      </c>
      <c r="B207" s="51">
        <v>0.485</v>
      </c>
      <c r="C207" t="s">
        <v>209</v>
      </c>
      <c r="D207" t="s">
        <v>36</v>
      </c>
      <c r="E207" t="s">
        <v>284</v>
      </c>
      <c r="F207" t="s">
        <v>376</v>
      </c>
      <c r="G207">
        <v>-8900</v>
      </c>
      <c r="H207" t="s">
        <v>207</v>
      </c>
      <c r="I207" t="s">
        <v>236</v>
      </c>
    </row>
    <row r="208" spans="1:9">
      <c r="A208" s="50">
        <v>46258</v>
      </c>
      <c r="B208" s="51">
        <v>0.4599652777777778</v>
      </c>
      <c r="C208" t="s">
        <v>209</v>
      </c>
      <c r="D208" t="s">
        <v>28</v>
      </c>
      <c r="E208" t="s">
        <v>377</v>
      </c>
      <c r="F208" t="s">
        <v>378</v>
      </c>
      <c r="G208">
        <v>-4500</v>
      </c>
      <c r="H208" t="s">
        <v>207</v>
      </c>
      <c r="I208" t="s">
        <v>236</v>
      </c>
    </row>
    <row r="209" spans="1:9">
      <c r="A209" s="50">
        <v>46258</v>
      </c>
      <c r="B209" s="51">
        <v>0.3634490740740741</v>
      </c>
      <c r="C209" t="s">
        <v>204</v>
      </c>
      <c r="D209" t="s">
        <v>67</v>
      </c>
      <c r="E209" t="s">
        <v>205</v>
      </c>
      <c r="F209" t="s">
        <v>379</v>
      </c>
      <c r="G209">
        <v>-100000</v>
      </c>
      <c r="H209" t="s">
        <v>207</v>
      </c>
      <c r="I209" t="s">
        <v>61</v>
      </c>
    </row>
    <row r="210" spans="1:9">
      <c r="A210" s="50">
        <v>46258</v>
      </c>
      <c r="B210" s="51">
        <v>0.3634375</v>
      </c>
      <c r="C210" t="s">
        <v>204</v>
      </c>
      <c r="D210" t="s">
        <v>67</v>
      </c>
      <c r="E210" t="s">
        <v>205</v>
      </c>
      <c r="F210" t="s">
        <v>380</v>
      </c>
      <c r="G210">
        <v>-150000</v>
      </c>
      <c r="H210" t="s">
        <v>207</v>
      </c>
      <c r="I210" t="s">
        <v>61</v>
      </c>
    </row>
    <row r="211" spans="1:9">
      <c r="A211" s="50">
        <v>46258</v>
      </c>
      <c r="B211" s="51">
        <v>0.3634259259259259</v>
      </c>
      <c r="C211" t="s">
        <v>204</v>
      </c>
      <c r="D211" t="s">
        <v>241</v>
      </c>
      <c r="E211" t="s">
        <v>205</v>
      </c>
      <c r="F211" t="s">
        <v>381</v>
      </c>
      <c r="G211">
        <v>1875232</v>
      </c>
      <c r="H211" t="s">
        <v>207</v>
      </c>
      <c r="I211" t="s">
        <v>52</v>
      </c>
    </row>
    <row r="212" spans="1:9">
      <c r="A212" s="50">
        <v>46258</v>
      </c>
      <c r="B212" s="51">
        <v>0.3634143518518518</v>
      </c>
      <c r="C212" t="s">
        <v>204</v>
      </c>
      <c r="D212" t="s">
        <v>241</v>
      </c>
      <c r="E212" t="s">
        <v>205</v>
      </c>
      <c r="F212" t="s">
        <v>382</v>
      </c>
      <c r="G212">
        <v>-1875232</v>
      </c>
      <c r="H212" t="s">
        <v>207</v>
      </c>
      <c r="I212" t="s">
        <v>61</v>
      </c>
    </row>
    <row r="213" spans="1:9">
      <c r="A213" s="50">
        <v>46258</v>
      </c>
      <c r="B213" s="51">
        <v>0.3626851851851852</v>
      </c>
      <c r="C213" t="s">
        <v>204</v>
      </c>
      <c r="D213" t="s">
        <v>241</v>
      </c>
      <c r="E213" t="s">
        <v>205</v>
      </c>
      <c r="F213" t="s">
        <v>383</v>
      </c>
      <c r="G213">
        <v>100000</v>
      </c>
      <c r="H213" t="s">
        <v>207</v>
      </c>
      <c r="I213" t="s">
        <v>69</v>
      </c>
    </row>
    <row r="214" spans="1:9">
      <c r="A214" s="50">
        <v>46258</v>
      </c>
      <c r="B214" s="51">
        <v>0.3626851851851852</v>
      </c>
      <c r="C214" t="s">
        <v>204</v>
      </c>
      <c r="D214" t="s">
        <v>241</v>
      </c>
      <c r="E214" t="s">
        <v>205</v>
      </c>
      <c r="F214" t="s">
        <v>384</v>
      </c>
      <c r="G214">
        <v>-1024768</v>
      </c>
      <c r="H214" t="s">
        <v>207</v>
      </c>
      <c r="I214" t="s">
        <v>61</v>
      </c>
    </row>
    <row r="215" spans="1:9">
      <c r="A215" s="50">
        <v>46258</v>
      </c>
      <c r="B215" s="51">
        <v>0.3626851851851852</v>
      </c>
      <c r="C215" t="s">
        <v>204</v>
      </c>
      <c r="D215" t="s">
        <v>241</v>
      </c>
      <c r="E215" t="s">
        <v>205</v>
      </c>
      <c r="F215" t="s">
        <v>385</v>
      </c>
      <c r="G215">
        <v>-100000</v>
      </c>
      <c r="H215" t="s">
        <v>207</v>
      </c>
      <c r="I215" t="s">
        <v>61</v>
      </c>
    </row>
    <row r="216" spans="1:9">
      <c r="A216" s="50">
        <v>46258</v>
      </c>
      <c r="B216" s="51">
        <v>0.3626851851851852</v>
      </c>
      <c r="C216" t="s">
        <v>204</v>
      </c>
      <c r="D216" t="s">
        <v>241</v>
      </c>
      <c r="E216" t="s">
        <v>205</v>
      </c>
      <c r="F216" t="s">
        <v>386</v>
      </c>
      <c r="G216">
        <v>1024768</v>
      </c>
      <c r="H216" t="s">
        <v>207</v>
      </c>
      <c r="I216" t="s">
        <v>58</v>
      </c>
    </row>
    <row r="217" spans="1:9">
      <c r="A217" s="50">
        <v>46258</v>
      </c>
      <c r="B217" s="51">
        <v>0.3626157407407408</v>
      </c>
      <c r="C217" t="s">
        <v>204</v>
      </c>
      <c r="D217" t="s">
        <v>241</v>
      </c>
      <c r="E217" t="s">
        <v>205</v>
      </c>
      <c r="F217" t="s">
        <v>387</v>
      </c>
      <c r="G217">
        <v>300000</v>
      </c>
      <c r="H217" t="s">
        <v>207</v>
      </c>
      <c r="I217" t="s">
        <v>54</v>
      </c>
    </row>
    <row r="218" spans="1:9">
      <c r="A218" s="50">
        <v>46258</v>
      </c>
      <c r="B218" s="51">
        <v>0.3626157407407408</v>
      </c>
      <c r="C218" t="s">
        <v>204</v>
      </c>
      <c r="D218" t="s">
        <v>241</v>
      </c>
      <c r="E218" t="s">
        <v>205</v>
      </c>
      <c r="F218" t="s">
        <v>388</v>
      </c>
      <c r="G218">
        <v>-300000</v>
      </c>
      <c r="H218" t="s">
        <v>207</v>
      </c>
      <c r="I218" t="s">
        <v>61</v>
      </c>
    </row>
    <row r="219" spans="1:9">
      <c r="A219" s="50">
        <v>46258</v>
      </c>
      <c r="B219" s="51">
        <v>0.3147916666666667</v>
      </c>
      <c r="C219" t="s">
        <v>209</v>
      </c>
      <c r="D219" t="s">
        <v>25</v>
      </c>
      <c r="E219" t="s">
        <v>330</v>
      </c>
      <c r="F219" t="s">
        <v>389</v>
      </c>
      <c r="G219">
        <v>-200000</v>
      </c>
      <c r="H219" t="s">
        <v>207</v>
      </c>
      <c r="I219" t="s">
        <v>61</v>
      </c>
    </row>
    <row r="220" spans="1:9">
      <c r="A220" s="50">
        <v>46258</v>
      </c>
      <c r="B220" s="51">
        <v>0.2956365740740741</v>
      </c>
      <c r="C220" t="s">
        <v>209</v>
      </c>
      <c r="D220" t="s">
        <v>32</v>
      </c>
      <c r="E220" t="s">
        <v>220</v>
      </c>
      <c r="F220" t="s">
        <v>221</v>
      </c>
      <c r="G220">
        <v>-5000</v>
      </c>
      <c r="H220" t="s">
        <v>207</v>
      </c>
      <c r="I220" t="s">
        <v>54</v>
      </c>
    </row>
    <row r="221" spans="1:9">
      <c r="A221" s="50">
        <v>46257</v>
      </c>
      <c r="B221" s="51">
        <v>0.6544907407407408</v>
      </c>
      <c r="C221" t="s">
        <v>209</v>
      </c>
      <c r="D221" t="s">
        <v>30</v>
      </c>
      <c r="E221" t="s">
        <v>257</v>
      </c>
      <c r="F221" t="s">
        <v>356</v>
      </c>
      <c r="G221">
        <v>-2400</v>
      </c>
      <c r="H221" t="s">
        <v>207</v>
      </c>
      <c r="I221" t="s">
        <v>236</v>
      </c>
    </row>
    <row r="222" spans="1:9">
      <c r="A222" s="50">
        <v>46257</v>
      </c>
      <c r="B222" s="51">
        <v>0.295787037037037</v>
      </c>
      <c r="C222" t="s">
        <v>209</v>
      </c>
      <c r="D222" t="s">
        <v>32</v>
      </c>
      <c r="E222" t="s">
        <v>220</v>
      </c>
      <c r="F222" t="s">
        <v>221</v>
      </c>
      <c r="G222">
        <v>-10000</v>
      </c>
      <c r="H222" t="s">
        <v>207</v>
      </c>
      <c r="I222" t="s">
        <v>54</v>
      </c>
    </row>
    <row r="223" spans="1:9">
      <c r="A223" s="50">
        <v>46256</v>
      </c>
      <c r="B223" s="51">
        <v>0.5996759259259259</v>
      </c>
      <c r="C223" t="s">
        <v>209</v>
      </c>
      <c r="D223" t="s">
        <v>32</v>
      </c>
      <c r="E223" t="s">
        <v>218</v>
      </c>
      <c r="F223" t="s">
        <v>288</v>
      </c>
      <c r="G223">
        <v>-7999</v>
      </c>
      <c r="H223" t="s">
        <v>207</v>
      </c>
      <c r="I223" t="s">
        <v>236</v>
      </c>
    </row>
    <row r="224" spans="1:9">
      <c r="A224" s="50">
        <v>46256</v>
      </c>
      <c r="B224" s="51">
        <v>0.4488888888888889</v>
      </c>
      <c r="C224" t="s">
        <v>209</v>
      </c>
      <c r="D224" t="s">
        <v>33</v>
      </c>
      <c r="E224" t="s">
        <v>390</v>
      </c>
      <c r="F224" t="s">
        <v>391</v>
      </c>
      <c r="G224">
        <v>-1000000</v>
      </c>
      <c r="H224" t="s">
        <v>207</v>
      </c>
      <c r="I224" t="s">
        <v>392</v>
      </c>
    </row>
    <row r="225" spans="1:9">
      <c r="A225" s="50">
        <v>46256</v>
      </c>
      <c r="B225" s="51">
        <v>0.2957986111111111</v>
      </c>
      <c r="C225" t="s">
        <v>209</v>
      </c>
      <c r="D225" t="s">
        <v>32</v>
      </c>
      <c r="E225" t="s">
        <v>220</v>
      </c>
      <c r="F225" t="s">
        <v>221</v>
      </c>
      <c r="G225">
        <v>-10000</v>
      </c>
      <c r="H225" t="s">
        <v>207</v>
      </c>
      <c r="I225" t="s">
        <v>54</v>
      </c>
    </row>
    <row r="226" spans="1:9">
      <c r="A226" s="50">
        <v>46255</v>
      </c>
      <c r="B226" s="51">
        <v>0.6290972222222222</v>
      </c>
      <c r="C226" t="s">
        <v>209</v>
      </c>
      <c r="D226" t="s">
        <v>25</v>
      </c>
      <c r="E226" t="s">
        <v>393</v>
      </c>
      <c r="F226" t="s">
        <v>394</v>
      </c>
      <c r="G226">
        <v>-200000</v>
      </c>
      <c r="H226" t="s">
        <v>207</v>
      </c>
      <c r="I226" t="s">
        <v>61</v>
      </c>
    </row>
    <row r="227" spans="1:9">
      <c r="A227" s="50">
        <v>46255</v>
      </c>
      <c r="B227" s="51">
        <v>0.4742476851851852</v>
      </c>
      <c r="C227" t="s">
        <v>209</v>
      </c>
      <c r="D227" t="s">
        <v>25</v>
      </c>
      <c r="E227" t="s">
        <v>232</v>
      </c>
      <c r="F227" t="s">
        <v>233</v>
      </c>
      <c r="G227">
        <v>-11600</v>
      </c>
      <c r="H227" t="s">
        <v>207</v>
      </c>
      <c r="I227" t="s">
        <v>208</v>
      </c>
    </row>
    <row r="228" spans="1:9">
      <c r="A228" s="50">
        <v>46255</v>
      </c>
      <c r="B228" s="51">
        <v>0.428125</v>
      </c>
      <c r="C228" t="s">
        <v>209</v>
      </c>
      <c r="D228" t="s">
        <v>25</v>
      </c>
      <c r="E228" t="s">
        <v>342</v>
      </c>
      <c r="F228" t="s">
        <v>395</v>
      </c>
      <c r="G228">
        <v>-5200</v>
      </c>
      <c r="H228" t="s">
        <v>207</v>
      </c>
      <c r="I228" t="s">
        <v>212</v>
      </c>
    </row>
    <row r="229" spans="1:9">
      <c r="A229" s="50">
        <v>46255</v>
      </c>
      <c r="B229" s="51">
        <v>0.2959259259259259</v>
      </c>
      <c r="C229" t="s">
        <v>209</v>
      </c>
      <c r="D229" t="s">
        <v>32</v>
      </c>
      <c r="E229" t="s">
        <v>220</v>
      </c>
      <c r="F229" t="s">
        <v>221</v>
      </c>
      <c r="G229">
        <v>-10000</v>
      </c>
      <c r="H229" t="s">
        <v>207</v>
      </c>
      <c r="I229" t="s">
        <v>54</v>
      </c>
    </row>
    <row r="230" spans="1:9">
      <c r="A230" s="50">
        <v>46255</v>
      </c>
      <c r="B230" s="51">
        <v>0.1056481481481481</v>
      </c>
      <c r="C230" t="s">
        <v>213</v>
      </c>
      <c r="D230" t="s">
        <v>18</v>
      </c>
      <c r="E230" t="s">
        <v>205</v>
      </c>
      <c r="F230" t="s">
        <v>18</v>
      </c>
      <c r="G230">
        <v>4821690</v>
      </c>
      <c r="H230" t="s">
        <v>207</v>
      </c>
      <c r="I230" t="s">
        <v>61</v>
      </c>
    </row>
    <row r="231" spans="1:9">
      <c r="A231" s="50">
        <v>46254</v>
      </c>
      <c r="B231" s="51">
        <v>0.7733564814814815</v>
      </c>
      <c r="C231" t="s">
        <v>209</v>
      </c>
      <c r="D231" t="s">
        <v>36</v>
      </c>
      <c r="E231" t="s">
        <v>284</v>
      </c>
      <c r="F231" t="s">
        <v>396</v>
      </c>
      <c r="G231">
        <v>-6700</v>
      </c>
      <c r="H231" t="s">
        <v>207</v>
      </c>
      <c r="I231" t="s">
        <v>236</v>
      </c>
    </row>
    <row r="232" spans="1:9">
      <c r="A232" s="50">
        <v>46254</v>
      </c>
      <c r="B232" s="51">
        <v>0.4838773148148148</v>
      </c>
      <c r="C232" t="s">
        <v>209</v>
      </c>
      <c r="D232" t="s">
        <v>30</v>
      </c>
      <c r="E232" t="s">
        <v>227</v>
      </c>
      <c r="F232" t="s">
        <v>310</v>
      </c>
      <c r="G232">
        <v>-6500</v>
      </c>
      <c r="H232" t="s">
        <v>207</v>
      </c>
      <c r="I232" t="s">
        <v>236</v>
      </c>
    </row>
    <row r="233" spans="1:9">
      <c r="A233" s="50">
        <v>46254</v>
      </c>
      <c r="B233" s="51">
        <v>0.4528587962962963</v>
      </c>
      <c r="C233" t="s">
        <v>209</v>
      </c>
      <c r="D233" t="s">
        <v>35</v>
      </c>
      <c r="E233" t="s">
        <v>251</v>
      </c>
      <c r="F233" t="s">
        <v>252</v>
      </c>
      <c r="G233">
        <v>-5990</v>
      </c>
      <c r="H233" t="s">
        <v>207</v>
      </c>
      <c r="I233" t="s">
        <v>236</v>
      </c>
    </row>
    <row r="234" spans="1:9">
      <c r="A234" s="50">
        <v>46254</v>
      </c>
      <c r="B234" s="51">
        <v>0.2956597222222222</v>
      </c>
      <c r="C234" t="s">
        <v>209</v>
      </c>
      <c r="D234" t="s">
        <v>32</v>
      </c>
      <c r="E234" t="s">
        <v>220</v>
      </c>
      <c r="F234" t="s">
        <v>221</v>
      </c>
      <c r="G234">
        <v>-10000</v>
      </c>
      <c r="H234" t="s">
        <v>207</v>
      </c>
      <c r="I234" t="s">
        <v>54</v>
      </c>
    </row>
    <row r="235" spans="1:9">
      <c r="A235" s="50">
        <v>46253</v>
      </c>
      <c r="B235" s="51">
        <v>0.7375578703703703</v>
      </c>
      <c r="C235" t="s">
        <v>209</v>
      </c>
      <c r="D235" t="s">
        <v>28</v>
      </c>
      <c r="E235" t="s">
        <v>397</v>
      </c>
      <c r="F235" t="s">
        <v>398</v>
      </c>
      <c r="G235">
        <v>-19900</v>
      </c>
      <c r="H235" t="s">
        <v>207</v>
      </c>
      <c r="I235" t="s">
        <v>236</v>
      </c>
    </row>
    <row r="236" spans="1:9">
      <c r="A236" s="50">
        <v>46253</v>
      </c>
      <c r="B236" s="51">
        <v>0.7068402777777778</v>
      </c>
      <c r="C236" t="s">
        <v>209</v>
      </c>
      <c r="D236" t="s">
        <v>37</v>
      </c>
      <c r="E236" t="s">
        <v>399</v>
      </c>
      <c r="F236" t="s">
        <v>400</v>
      </c>
      <c r="G236">
        <v>-46050</v>
      </c>
      <c r="H236" t="s">
        <v>207</v>
      </c>
      <c r="I236" t="s">
        <v>217</v>
      </c>
    </row>
    <row r="237" spans="1:9">
      <c r="A237" s="50">
        <v>46253</v>
      </c>
      <c r="B237" s="51">
        <v>0.6551967592592592</v>
      </c>
      <c r="C237" t="s">
        <v>209</v>
      </c>
      <c r="D237" t="s">
        <v>37</v>
      </c>
      <c r="E237" t="s">
        <v>272</v>
      </c>
      <c r="F237" t="s">
        <v>401</v>
      </c>
      <c r="G237">
        <v>-74850</v>
      </c>
      <c r="H237" t="s">
        <v>207</v>
      </c>
      <c r="I237" t="s">
        <v>369</v>
      </c>
    </row>
    <row r="238" spans="1:9">
      <c r="A238" s="50">
        <v>46253</v>
      </c>
      <c r="B238" s="51">
        <v>0.6531597222222222</v>
      </c>
      <c r="C238" t="s">
        <v>209</v>
      </c>
      <c r="D238" t="s">
        <v>32</v>
      </c>
      <c r="E238" t="s">
        <v>402</v>
      </c>
      <c r="F238" t="s">
        <v>403</v>
      </c>
      <c r="G238">
        <v>-38458</v>
      </c>
      <c r="H238" t="s">
        <v>207</v>
      </c>
      <c r="I238" t="s">
        <v>369</v>
      </c>
    </row>
    <row r="239" spans="1:9">
      <c r="A239" s="50">
        <v>46253</v>
      </c>
      <c r="B239" s="51">
        <v>0.6512268518518518</v>
      </c>
      <c r="C239" t="s">
        <v>209</v>
      </c>
      <c r="D239" t="s">
        <v>37</v>
      </c>
      <c r="E239" t="s">
        <v>272</v>
      </c>
      <c r="F239" t="s">
        <v>404</v>
      </c>
      <c r="G239">
        <v>-50100</v>
      </c>
      <c r="H239" t="s">
        <v>207</v>
      </c>
      <c r="I239" t="s">
        <v>226</v>
      </c>
    </row>
    <row r="240" spans="1:9">
      <c r="A240" s="50">
        <v>46253</v>
      </c>
      <c r="B240" s="51">
        <v>0.6428935185185185</v>
      </c>
      <c r="C240" t="s">
        <v>209</v>
      </c>
      <c r="D240" t="s">
        <v>32</v>
      </c>
      <c r="E240" t="s">
        <v>402</v>
      </c>
      <c r="F240" t="s">
        <v>403</v>
      </c>
      <c r="G240">
        <v>-32733</v>
      </c>
      <c r="H240" t="s">
        <v>207</v>
      </c>
      <c r="I240" t="s">
        <v>369</v>
      </c>
    </row>
    <row r="241" spans="1:9">
      <c r="A241" s="50">
        <v>46253</v>
      </c>
      <c r="B241" s="51">
        <v>0.5830324074074074</v>
      </c>
      <c r="C241" t="s">
        <v>209</v>
      </c>
      <c r="D241" t="s">
        <v>30</v>
      </c>
      <c r="E241" t="s">
        <v>366</v>
      </c>
      <c r="F241" t="s">
        <v>405</v>
      </c>
      <c r="G241">
        <v>-1000</v>
      </c>
      <c r="H241" t="s">
        <v>207</v>
      </c>
      <c r="I241" t="s">
        <v>226</v>
      </c>
    </row>
    <row r="242" spans="1:9">
      <c r="A242" s="50">
        <v>46253</v>
      </c>
      <c r="B242" s="51">
        <v>0.5706018518518519</v>
      </c>
      <c r="C242" t="s">
        <v>209</v>
      </c>
      <c r="D242" t="s">
        <v>25</v>
      </c>
      <c r="E242" t="s">
        <v>232</v>
      </c>
      <c r="F242" t="s">
        <v>406</v>
      </c>
      <c r="G242">
        <v>-36360</v>
      </c>
      <c r="H242" t="s">
        <v>207</v>
      </c>
      <c r="I242" t="s">
        <v>226</v>
      </c>
    </row>
    <row r="243" spans="1:9">
      <c r="A243" s="50">
        <v>46253</v>
      </c>
      <c r="B243" s="51">
        <v>0.5687731481481482</v>
      </c>
      <c r="C243" t="s">
        <v>209</v>
      </c>
      <c r="D243" t="s">
        <v>37</v>
      </c>
      <c r="E243" t="s">
        <v>272</v>
      </c>
      <c r="F243" t="s">
        <v>407</v>
      </c>
      <c r="G243">
        <v>-36360</v>
      </c>
      <c r="H243" t="s">
        <v>207</v>
      </c>
      <c r="I243" t="s">
        <v>217</v>
      </c>
    </row>
    <row r="244" spans="1:9">
      <c r="A244" s="50">
        <v>46253</v>
      </c>
      <c r="B244" s="51">
        <v>0.4189583333333333</v>
      </c>
      <c r="C244" t="s">
        <v>209</v>
      </c>
      <c r="D244" t="s">
        <v>35</v>
      </c>
      <c r="E244" t="s">
        <v>251</v>
      </c>
      <c r="F244" t="s">
        <v>408</v>
      </c>
      <c r="G244">
        <v>-11610</v>
      </c>
      <c r="H244" t="s">
        <v>207</v>
      </c>
      <c r="I244" t="s">
        <v>226</v>
      </c>
    </row>
    <row r="245" spans="1:9">
      <c r="A245" s="50">
        <v>46253</v>
      </c>
      <c r="B245" s="51">
        <v>0.3797916666666667</v>
      </c>
      <c r="C245" t="s">
        <v>209</v>
      </c>
      <c r="D245" t="s">
        <v>35</v>
      </c>
      <c r="E245" t="s">
        <v>251</v>
      </c>
      <c r="F245" t="s">
        <v>408</v>
      </c>
      <c r="G245">
        <v>-51930</v>
      </c>
      <c r="H245" t="s">
        <v>207</v>
      </c>
      <c r="I245" t="s">
        <v>226</v>
      </c>
    </row>
    <row r="246" spans="1:9">
      <c r="A246" s="50">
        <v>46253</v>
      </c>
      <c r="B246" s="51">
        <v>0.2954398148148148</v>
      </c>
      <c r="C246" t="s">
        <v>209</v>
      </c>
      <c r="D246" t="s">
        <v>32</v>
      </c>
      <c r="E246" t="s">
        <v>220</v>
      </c>
      <c r="F246" t="s">
        <v>221</v>
      </c>
      <c r="G246">
        <v>-10000</v>
      </c>
      <c r="H246" t="s">
        <v>207</v>
      </c>
      <c r="I246" t="s">
        <v>54</v>
      </c>
    </row>
    <row r="247" spans="1:9">
      <c r="A247" s="50">
        <v>46252</v>
      </c>
      <c r="B247" s="51">
        <v>0.9935995370370371</v>
      </c>
      <c r="C247" t="s">
        <v>209</v>
      </c>
      <c r="D247" t="s">
        <v>35</v>
      </c>
      <c r="E247" t="s">
        <v>251</v>
      </c>
      <c r="F247" t="s">
        <v>252</v>
      </c>
      <c r="G247">
        <v>-5990</v>
      </c>
      <c r="H247" t="s">
        <v>207</v>
      </c>
      <c r="I247" t="s">
        <v>236</v>
      </c>
    </row>
    <row r="248" spans="1:9">
      <c r="A248" s="50">
        <v>46252</v>
      </c>
      <c r="B248" s="51">
        <v>0.9546412037037038</v>
      </c>
      <c r="C248" t="s">
        <v>209</v>
      </c>
      <c r="D248" t="s">
        <v>32</v>
      </c>
      <c r="E248" t="s">
        <v>218</v>
      </c>
      <c r="F248" t="s">
        <v>288</v>
      </c>
      <c r="G248">
        <v>-10450</v>
      </c>
      <c r="H248" t="s">
        <v>207</v>
      </c>
      <c r="I248" t="s">
        <v>226</v>
      </c>
    </row>
    <row r="249" spans="1:9">
      <c r="A249" s="50">
        <v>46252</v>
      </c>
      <c r="B249" s="51">
        <v>0.924050925925926</v>
      </c>
      <c r="C249" t="s">
        <v>204</v>
      </c>
      <c r="D249" t="s">
        <v>204</v>
      </c>
      <c r="E249" t="s">
        <v>205</v>
      </c>
      <c r="F249" t="s">
        <v>409</v>
      </c>
      <c r="G249">
        <v>37966</v>
      </c>
      <c r="H249" t="s">
        <v>207</v>
      </c>
      <c r="I249" t="s">
        <v>208</v>
      </c>
    </row>
    <row r="250" spans="1:9">
      <c r="A250" s="50">
        <v>46252</v>
      </c>
      <c r="B250" s="51">
        <v>0.9209375</v>
      </c>
      <c r="C250" t="s">
        <v>204</v>
      </c>
      <c r="D250" t="s">
        <v>204</v>
      </c>
      <c r="E250" t="s">
        <v>205</v>
      </c>
      <c r="F250" t="s">
        <v>409</v>
      </c>
      <c r="G250">
        <v>37966</v>
      </c>
      <c r="H250" t="s">
        <v>207</v>
      </c>
      <c r="I250" t="s">
        <v>208</v>
      </c>
    </row>
    <row r="251" spans="1:9">
      <c r="A251" s="50">
        <v>46252</v>
      </c>
      <c r="B251" s="51">
        <v>0.9206828703703703</v>
      </c>
      <c r="C251" t="s">
        <v>213</v>
      </c>
      <c r="D251" t="s">
        <v>19</v>
      </c>
      <c r="E251" t="s">
        <v>205</v>
      </c>
      <c r="F251" t="s">
        <v>234</v>
      </c>
      <c r="G251">
        <v>2</v>
      </c>
      <c r="H251" t="s">
        <v>207</v>
      </c>
      <c r="I251" t="s">
        <v>208</v>
      </c>
    </row>
    <row r="252" spans="1:9">
      <c r="A252" s="50">
        <v>46252</v>
      </c>
      <c r="B252" s="51">
        <v>0.8308564814814815</v>
      </c>
      <c r="C252" t="s">
        <v>209</v>
      </c>
      <c r="D252" t="s">
        <v>36</v>
      </c>
      <c r="E252" t="s">
        <v>284</v>
      </c>
      <c r="F252" t="s">
        <v>410</v>
      </c>
      <c r="G252">
        <v>-26400</v>
      </c>
      <c r="H252" t="s">
        <v>207</v>
      </c>
      <c r="I252" t="s">
        <v>226</v>
      </c>
    </row>
    <row r="253" spans="1:9">
      <c r="A253" s="50">
        <v>46252</v>
      </c>
      <c r="B253" s="51">
        <v>0.8237962962962962</v>
      </c>
      <c r="C253" t="s">
        <v>209</v>
      </c>
      <c r="D253" t="s">
        <v>30</v>
      </c>
      <c r="E253" t="s">
        <v>411</v>
      </c>
      <c r="F253" t="s">
        <v>412</v>
      </c>
      <c r="G253">
        <v>-87500</v>
      </c>
      <c r="H253" t="s">
        <v>207</v>
      </c>
      <c r="I253" t="s">
        <v>226</v>
      </c>
    </row>
    <row r="254" spans="1:9">
      <c r="A254" s="50">
        <v>46252</v>
      </c>
      <c r="B254" s="51">
        <v>0.8227430555555556</v>
      </c>
      <c r="C254" t="s">
        <v>209</v>
      </c>
      <c r="D254" t="s">
        <v>25</v>
      </c>
      <c r="E254" t="s">
        <v>232</v>
      </c>
      <c r="F254" t="s">
        <v>233</v>
      </c>
      <c r="G254">
        <v>-81000</v>
      </c>
      <c r="H254" t="s">
        <v>207</v>
      </c>
      <c r="I254" t="s">
        <v>208</v>
      </c>
    </row>
    <row r="255" spans="1:9">
      <c r="A255" s="50">
        <v>46252</v>
      </c>
      <c r="B255" s="51">
        <v>0.8227314814814815</v>
      </c>
      <c r="C255" t="s">
        <v>204</v>
      </c>
      <c r="D255" t="s">
        <v>241</v>
      </c>
      <c r="E255" t="s">
        <v>205</v>
      </c>
      <c r="F255" t="s">
        <v>413</v>
      </c>
      <c r="G255">
        <v>-74601</v>
      </c>
      <c r="H255" t="s">
        <v>207</v>
      </c>
      <c r="I255" t="s">
        <v>21</v>
      </c>
    </row>
    <row r="256" spans="1:9">
      <c r="A256" s="50">
        <v>46252</v>
      </c>
      <c r="B256" s="51">
        <v>0.8227314814814815</v>
      </c>
      <c r="C256" t="s">
        <v>204</v>
      </c>
      <c r="D256" t="s">
        <v>241</v>
      </c>
      <c r="E256" t="s">
        <v>205</v>
      </c>
      <c r="F256" t="s">
        <v>414</v>
      </c>
      <c r="G256">
        <v>74601</v>
      </c>
      <c r="H256" t="s">
        <v>207</v>
      </c>
      <c r="I256" t="s">
        <v>208</v>
      </c>
    </row>
    <row r="257" spans="1:9">
      <c r="A257" s="50">
        <v>46252</v>
      </c>
      <c r="B257" s="51">
        <v>0.5989467592592592</v>
      </c>
      <c r="C257" t="s">
        <v>204</v>
      </c>
      <c r="D257" t="s">
        <v>274</v>
      </c>
      <c r="E257" t="s">
        <v>205</v>
      </c>
      <c r="F257" t="s">
        <v>415</v>
      </c>
      <c r="G257">
        <v>19900</v>
      </c>
      <c r="H257" t="s">
        <v>207</v>
      </c>
      <c r="I257" t="s">
        <v>47</v>
      </c>
    </row>
    <row r="258" spans="1:9">
      <c r="A258" s="50">
        <v>46252</v>
      </c>
      <c r="B258" s="51">
        <v>0.5019328703703704</v>
      </c>
      <c r="C258" t="s">
        <v>204</v>
      </c>
      <c r="D258" t="s">
        <v>204</v>
      </c>
      <c r="E258" t="s">
        <v>205</v>
      </c>
      <c r="F258" t="s">
        <v>231</v>
      </c>
      <c r="G258">
        <v>89310</v>
      </c>
      <c r="H258" t="s">
        <v>207</v>
      </c>
      <c r="I258" t="s">
        <v>47</v>
      </c>
    </row>
    <row r="259" spans="1:9">
      <c r="A259" s="50">
        <v>46252</v>
      </c>
      <c r="B259" s="51">
        <v>0.4908912037037037</v>
      </c>
      <c r="C259" t="s">
        <v>213</v>
      </c>
      <c r="D259" t="s">
        <v>19</v>
      </c>
      <c r="E259" t="s">
        <v>205</v>
      </c>
      <c r="F259" t="s">
        <v>416</v>
      </c>
      <c r="G259">
        <v>221822</v>
      </c>
      <c r="H259" t="s">
        <v>207</v>
      </c>
      <c r="I259" t="s">
        <v>57</v>
      </c>
    </row>
    <row r="260" spans="1:9">
      <c r="A260" s="50">
        <v>46252</v>
      </c>
      <c r="B260" s="51">
        <v>0.4881481481481482</v>
      </c>
      <c r="C260" t="s">
        <v>204</v>
      </c>
      <c r="D260" t="s">
        <v>241</v>
      </c>
      <c r="E260" t="s">
        <v>205</v>
      </c>
      <c r="F260" t="s">
        <v>413</v>
      </c>
      <c r="G260">
        <v>-10000</v>
      </c>
      <c r="H260" t="s">
        <v>207</v>
      </c>
      <c r="I260" t="s">
        <v>21</v>
      </c>
    </row>
    <row r="261" spans="1:9">
      <c r="A261" s="50">
        <v>46252</v>
      </c>
      <c r="B261" s="51">
        <v>0.4881481481481482</v>
      </c>
      <c r="C261" t="s">
        <v>209</v>
      </c>
      <c r="D261" t="s">
        <v>25</v>
      </c>
      <c r="E261" t="s">
        <v>232</v>
      </c>
      <c r="F261" t="s">
        <v>233</v>
      </c>
      <c r="G261">
        <v>-6000</v>
      </c>
      <c r="H261" t="s">
        <v>207</v>
      </c>
      <c r="I261" t="s">
        <v>208</v>
      </c>
    </row>
    <row r="262" spans="1:9">
      <c r="A262" s="50">
        <v>46252</v>
      </c>
      <c r="B262" s="51">
        <v>0.4881365740740741</v>
      </c>
      <c r="C262" t="s">
        <v>204</v>
      </c>
      <c r="D262" t="s">
        <v>241</v>
      </c>
      <c r="E262" t="s">
        <v>205</v>
      </c>
      <c r="F262" t="s">
        <v>414</v>
      </c>
      <c r="G262">
        <v>10000</v>
      </c>
      <c r="H262" t="s">
        <v>207</v>
      </c>
      <c r="I262" t="s">
        <v>208</v>
      </c>
    </row>
    <row r="263" spans="1:9">
      <c r="A263" s="50">
        <v>46252</v>
      </c>
      <c r="B263" s="51">
        <v>0.4216550925925926</v>
      </c>
      <c r="C263" t="s">
        <v>209</v>
      </c>
      <c r="D263" t="s">
        <v>30</v>
      </c>
      <c r="E263" t="s">
        <v>257</v>
      </c>
      <c r="F263" t="s">
        <v>356</v>
      </c>
      <c r="G263">
        <v>-1990</v>
      </c>
      <c r="H263" t="s">
        <v>207</v>
      </c>
      <c r="I263" t="s">
        <v>217</v>
      </c>
    </row>
    <row r="264" spans="1:9">
      <c r="A264" s="50">
        <v>46252</v>
      </c>
      <c r="B264" s="51">
        <v>0.3655902777777778</v>
      </c>
      <c r="C264" t="s">
        <v>204</v>
      </c>
      <c r="D264" t="s">
        <v>237</v>
      </c>
      <c r="E264" t="s">
        <v>205</v>
      </c>
      <c r="F264" t="s">
        <v>238</v>
      </c>
      <c r="G264">
        <v>1750000</v>
      </c>
      <c r="H264" t="s">
        <v>207</v>
      </c>
      <c r="I264" t="s">
        <v>58</v>
      </c>
    </row>
    <row r="265" spans="1:9">
      <c r="A265" s="50">
        <v>46252</v>
      </c>
      <c r="B265" s="51">
        <v>0.2956828703703704</v>
      </c>
      <c r="C265" t="s">
        <v>209</v>
      </c>
      <c r="D265" t="s">
        <v>32</v>
      </c>
      <c r="E265" t="s">
        <v>220</v>
      </c>
      <c r="F265" t="s">
        <v>221</v>
      </c>
      <c r="G265">
        <v>-10000</v>
      </c>
      <c r="H265" t="s">
        <v>207</v>
      </c>
      <c r="I265" t="s">
        <v>54</v>
      </c>
    </row>
    <row r="266" spans="1:9">
      <c r="A266" s="50">
        <v>46252</v>
      </c>
      <c r="B266" s="51">
        <v>0.2916203703703704</v>
      </c>
      <c r="C266" t="s">
        <v>204</v>
      </c>
      <c r="D266" t="s">
        <v>204</v>
      </c>
      <c r="E266" t="s">
        <v>205</v>
      </c>
      <c r="F266" t="s">
        <v>283</v>
      </c>
      <c r="G266">
        <v>1800</v>
      </c>
      <c r="H266" t="s">
        <v>207</v>
      </c>
      <c r="I266" t="s">
        <v>50</v>
      </c>
    </row>
    <row r="267" spans="1:9">
      <c r="A267" s="50">
        <v>46251</v>
      </c>
      <c r="B267" s="51">
        <v>0.9324305555555555</v>
      </c>
      <c r="C267" t="s">
        <v>209</v>
      </c>
      <c r="D267" t="s">
        <v>32</v>
      </c>
      <c r="E267" t="s">
        <v>218</v>
      </c>
      <c r="F267" t="s">
        <v>268</v>
      </c>
      <c r="G267">
        <v>-5999</v>
      </c>
      <c r="H267" t="s">
        <v>207</v>
      </c>
      <c r="I267" t="s">
        <v>269</v>
      </c>
    </row>
    <row r="268" spans="1:9">
      <c r="A268" s="50">
        <v>46251</v>
      </c>
      <c r="B268" s="51">
        <v>0.295474537037037</v>
      </c>
      <c r="C268" t="s">
        <v>209</v>
      </c>
      <c r="D268" t="s">
        <v>32</v>
      </c>
      <c r="E268" t="s">
        <v>220</v>
      </c>
      <c r="F268" t="s">
        <v>221</v>
      </c>
      <c r="G268">
        <v>-10000</v>
      </c>
      <c r="H268" t="s">
        <v>207</v>
      </c>
      <c r="I268" t="s">
        <v>54</v>
      </c>
    </row>
    <row r="269" spans="1:9">
      <c r="A269" s="50">
        <v>46250</v>
      </c>
      <c r="B269" s="51">
        <v>0.7436342592592593</v>
      </c>
      <c r="C269" t="s">
        <v>209</v>
      </c>
      <c r="D269" t="s">
        <v>30</v>
      </c>
      <c r="E269" t="s">
        <v>265</v>
      </c>
      <c r="F269" t="s">
        <v>417</v>
      </c>
      <c r="G269">
        <v>-88000</v>
      </c>
      <c r="H269" t="s">
        <v>207</v>
      </c>
      <c r="I269" t="s">
        <v>230</v>
      </c>
    </row>
    <row r="270" spans="1:9">
      <c r="A270" s="50">
        <v>46250</v>
      </c>
      <c r="B270" s="51">
        <v>0.6118518518518519</v>
      </c>
      <c r="C270" t="s">
        <v>209</v>
      </c>
      <c r="D270" t="s">
        <v>32</v>
      </c>
      <c r="E270" t="s">
        <v>218</v>
      </c>
      <c r="F270" t="s">
        <v>418</v>
      </c>
      <c r="G270">
        <v>-14600</v>
      </c>
      <c r="H270" t="s">
        <v>207</v>
      </c>
      <c r="I270" t="s">
        <v>236</v>
      </c>
    </row>
    <row r="271" spans="1:9">
      <c r="A271" s="50">
        <v>46250</v>
      </c>
      <c r="B271" s="51">
        <v>0.5794328703703704</v>
      </c>
      <c r="C271" t="s">
        <v>209</v>
      </c>
      <c r="D271" t="s">
        <v>30</v>
      </c>
      <c r="E271" t="s">
        <v>366</v>
      </c>
      <c r="F271" t="s">
        <v>419</v>
      </c>
      <c r="G271">
        <v>-1800</v>
      </c>
      <c r="H271" t="s">
        <v>207</v>
      </c>
      <c r="I271" t="s">
        <v>212</v>
      </c>
    </row>
    <row r="272" spans="1:9">
      <c r="A272" s="50">
        <v>46250</v>
      </c>
      <c r="B272" s="51">
        <v>0.5785532407407408</v>
      </c>
      <c r="C272" t="s">
        <v>209</v>
      </c>
      <c r="D272" t="s">
        <v>30</v>
      </c>
      <c r="E272" t="s">
        <v>366</v>
      </c>
      <c r="F272" t="s">
        <v>420</v>
      </c>
      <c r="G272">
        <v>-1800</v>
      </c>
      <c r="H272" t="s">
        <v>207</v>
      </c>
      <c r="I272" t="s">
        <v>230</v>
      </c>
    </row>
    <row r="273" spans="1:9">
      <c r="A273" s="50">
        <v>46250</v>
      </c>
      <c r="B273" s="51">
        <v>0.4265856481481481</v>
      </c>
      <c r="C273" t="s">
        <v>204</v>
      </c>
      <c r="D273" t="s">
        <v>204</v>
      </c>
      <c r="E273" t="s">
        <v>205</v>
      </c>
      <c r="F273" t="s">
        <v>421</v>
      </c>
      <c r="G273">
        <v>3000</v>
      </c>
      <c r="H273" t="s">
        <v>207</v>
      </c>
      <c r="I273" t="s">
        <v>55</v>
      </c>
    </row>
    <row r="274" spans="1:9">
      <c r="A274" s="50">
        <v>46250</v>
      </c>
      <c r="B274" s="51">
        <v>0.3080208333333334</v>
      </c>
      <c r="C274" t="s">
        <v>213</v>
      </c>
      <c r="D274" t="s">
        <v>17</v>
      </c>
      <c r="E274" t="s">
        <v>205</v>
      </c>
      <c r="F274" t="s">
        <v>422</v>
      </c>
      <c r="G274">
        <v>692</v>
      </c>
      <c r="H274" t="s">
        <v>207</v>
      </c>
      <c r="I274" t="s">
        <v>51</v>
      </c>
    </row>
    <row r="275" spans="1:9">
      <c r="A275" s="50">
        <v>46250</v>
      </c>
      <c r="B275" s="51">
        <v>0.3049884259259259</v>
      </c>
      <c r="C275" t="s">
        <v>213</v>
      </c>
      <c r="D275" t="s">
        <v>17</v>
      </c>
      <c r="E275" t="s">
        <v>205</v>
      </c>
      <c r="F275" t="s">
        <v>422</v>
      </c>
      <c r="G275">
        <v>1014</v>
      </c>
      <c r="H275" t="s">
        <v>207</v>
      </c>
      <c r="I275" t="s">
        <v>50</v>
      </c>
    </row>
    <row r="276" spans="1:9">
      <c r="A276" s="50">
        <v>46250</v>
      </c>
      <c r="B276" s="51">
        <v>0.2960763888888889</v>
      </c>
      <c r="C276" t="s">
        <v>209</v>
      </c>
      <c r="D276" t="s">
        <v>32</v>
      </c>
      <c r="E276" t="s">
        <v>220</v>
      </c>
      <c r="F276" t="s">
        <v>221</v>
      </c>
      <c r="G276">
        <v>-10000</v>
      </c>
      <c r="H276" t="s">
        <v>207</v>
      </c>
      <c r="I27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2026-09-16T08:29:59Z</dcterms:created>
  <dcterms:modified xsi:type="dcterms:W3CDTF">2026-09-16T08:29:59Z</dcterms:modified>
</cp:coreProperties>
</file>