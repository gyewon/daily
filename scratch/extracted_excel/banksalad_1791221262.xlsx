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<sst xmlns="http://schemas.openxmlformats.org/spreadsheetml/2006/main" count="544" uniqueCount="196">
  <si>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</si>
  <si>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</si>
  <si>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</si>
  <si>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</si>
  <si>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</si>
  <si>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</si>
  <si>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</si>
  <si>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</si>
  <si>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</si>
  <si>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</si>
  <si>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</si>
  <si>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</si>
  <si>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</si>
  <si>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</si>
  <si>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</si>
  <si>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</si>
  <si>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월수입 총계</t>
  </si>
  <si>
    <t>고정비</t>
  </si>
  <si>
    <t>문화/여가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</si>
  <si>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</si>
  <si>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</si>
  <si>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</si>
  <si>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</si>
  <si>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</si>
  <si>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</si>
  <si>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</si>
  <si>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</si>
  <si>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</si>
  <si>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</si>
  <si>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</si>
  <si>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</si>
  <si>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</si>
  <si>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</si>
  <si>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</si>
  <si>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</si>
  <si>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</si>
  <si>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</si>
  <si>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</si>
  <si>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</si>
  <si>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</si>
  <si>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</si>
  <si>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</si>
  <si>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</si>
  <si>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</si>
  <si>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</si>
  <si>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</si>
  <si>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</si>
  <si>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</si>
  <si>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</si>
  <si>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</si>
  <si>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</si>
  <si>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</si>
  <si>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</si>
  <si>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</si>
  <si>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</si>
  <si>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</si>
  <si>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</si>
  <si>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</si>
  <si>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</si>
  <si>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</si>
  <si>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</si>
  <si>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</si>
  <si>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</si>
  <si>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</si>
  <si>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노타</t>
  </si>
  <si>
    <t>라메디텍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</si>
  <si>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</si>
  <si>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</si>
  <si>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</si>
  <si>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</si>
  <si>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</si>
  <si>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</si>
  <si>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</si>
  <si>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</si>
  <si>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</si>
  <si>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</si>
  <si>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</si>
  <si>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</si>
  <si>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</si>
  <si>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</si>
  <si>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</si>
  <si>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</si>
  <si>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</si>
  <si>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</si>
  <si>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</si>
  <si>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</si>
  <si>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</si>
  <si>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</si>
  <si>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</si>
  <si>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</si>
  <si>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</si>
  <si>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</si>
  <si>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</si>
  <si>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</si>
  <si>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</si>
  <si>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</si>
  <si>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</si>
  <si>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</si>
  <si>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</si>
  <si>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</si>
  <si>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</si>
  <si>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</si>
  <si>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</si>
  <si>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</si>
  <si>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</si>
  <si>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</si>
  <si>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</si>
  <si>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</si>
  <si>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</si>
  <si>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</si>
  <si>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</si>
  <si>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</si>
  <si>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</si>
  <si>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</si>
  <si>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</si>
  <si>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</si>
  <si>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</si>
  <si>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</si>
  <si>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</si>
  <si>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</si>
  <si>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</si>
  <si>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</si>
  <si>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</si>
  <si>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</si>
  <si>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</si>
  <si>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</si>
  <si>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</si>
  <si>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</si>
  <si>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</si>
  <si>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</si>
  <si>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</si>
  <si>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</si>
  <si>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</si>
  <si>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</si>
  <si>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</si>
  <si>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</si>
  <si>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</si>
  <si>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</si>
  <si>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</si>
  <si>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</si>
  <si>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</si>
  <si>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</si>
  <si>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</si>
  <si>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</si>
  <si>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</si>
  <si>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</si>
  <si>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</si>
  <si>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</si>
  <si>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</si>
  <si>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</si>
  <si>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</si>
  <si>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달아달아 독립문점</t>
  </si>
  <si>
    <t>KRW</t>
  </si>
  <si>
    <t>우리카드_KT Plus</t>
  </si>
  <si>
    <t>153구포국수 충무로점</t>
  </si>
  <si>
    <t>하나카드_MG+ S</t>
  </si>
  <si>
    <t>인터넷쇼핑</t>
  </si>
  <si>
    <t>주식회사  페럼인프라</t>
  </si>
  <si>
    <t>신한카드_더모아</t>
  </si>
  <si>
    <t>마트</t>
  </si>
  <si>
    <t>GS THE FRESH 무악현대점</t>
  </si>
  <si>
    <t>카카오페이 간편결제</t>
  </si>
  <si>
    <t>통신비</t>
  </si>
  <si>
    <t>KT통신요금납부</t>
  </si>
  <si>
    <t>요기요</t>
  </si>
  <si>
    <t>페이코 간편결제</t>
  </si>
  <si>
    <t>이아초밥 용산점</t>
  </si>
  <si>
    <t>일일향 명동점</t>
  </si>
  <si>
    <t>토스쇼핑</t>
  </si>
  <si>
    <t>토스 간편결제</t>
  </si>
  <si>
    <t>패션</t>
  </si>
  <si>
    <t>모노로그명동</t>
  </si>
  <si>
    <t>샹츠마라 종로점</t>
  </si>
  <si>
    <t>쿠팡(주)</t>
  </si>
  <si>
    <t>ALIEXPRESS</t>
  </si>
  <si>
    <t>치과</t>
  </si>
  <si>
    <t>서울우리원치과의</t>
  </si>
  <si>
    <t>재단법인 한국우편사업진흥원</t>
  </si>
  <si>
    <t>(주) 카페크리스피</t>
  </si>
  <si>
    <t>하나카드 주식회사</t>
  </si>
  <si>
    <t>쿠팡</t>
  </si>
  <si>
    <t>aliexpress</t>
  </si>
  <si>
    <t>투썸플레이스_4</t>
  </si>
  <si>
    <t>주식회사 카카오</t>
  </si>
  <si>
    <t>나인원 보드게임카페24</t>
  </si>
  <si>
    <t>유앤아이의원</t>
  </si>
  <si>
    <t>주식회사 예스코</t>
  </si>
  <si>
    <t>삼성화재해상보험(주)</t>
  </si>
  <si>
    <t>먹보대장</t>
  </si>
  <si>
    <t>편의점</t>
  </si>
  <si>
    <t>CU(페럼타워점)</t>
  </si>
  <si>
    <t>인터넷상거래</t>
  </si>
  <si>
    <t>신한카드_다드림 LOVE</t>
  </si>
  <si>
    <t>결제/충전</t>
  </si>
  <si>
    <t>헥토_구인증</t>
  </si>
  <si>
    <t>간편결제_에스에스지페이먼츠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</si>
</sst>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4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22730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24000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19760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228549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138000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481366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75700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34700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16900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300840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637772</v>
      </c>
      <c r="F32" s="24" t="s">
        <v>93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519342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353490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173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33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263144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195608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159984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359859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261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395932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960649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197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8100000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/>
      <c r="C55" s="22" t="s">
        <v>62</v>
      </c>
      <c r="D55" s="22"/>
      <c r="E55" s="23">
        <v>0</v>
      </c>
      <c r="F55" s="22"/>
      <c r="G55" s="22"/>
      <c r="H55" s="22"/>
      <c r="I55" s="26"/>
    </row>
    <row r="56" spans="2:9">
      <c r="B56" s="21" t="s">
        <v>63</v>
      </c>
      <c r="C56" s="22" t="s">
        <v>64</v>
      </c>
      <c r="D56" s="22"/>
      <c r="E56" s="23">
        <v>246000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3560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1541976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1417900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1258751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110467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53900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1385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809269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60481.7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19682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1743791.45</v>
      </c>
      <c r="F67" s="22"/>
      <c r="G67" s="22"/>
      <c r="H67" s="22"/>
      <c r="I67" s="26"/>
    </row>
    <row r="68" spans="2:9">
      <c r="B68" s="21"/>
      <c r="C68" s="22" t="s">
        <v>75</v>
      </c>
      <c r="D68" s="22"/>
      <c r="E68" s="23">
        <v>191501</v>
      </c>
      <c r="F68" s="22"/>
      <c r="G68" s="22"/>
      <c r="H68" s="22"/>
      <c r="I68" s="26"/>
    </row>
    <row r="69" spans="2:9">
      <c r="B69" s="21"/>
      <c r="C69" s="22" t="s">
        <v>76</v>
      </c>
      <c r="D69" s="22"/>
      <c r="E69" s="23">
        <v>387</v>
      </c>
      <c r="F69" s="22"/>
      <c r="G69" s="22"/>
      <c r="H69" s="22"/>
      <c r="I69" s="26"/>
    </row>
    <row r="70" spans="2:9">
      <c r="B70" s="21"/>
      <c r="C70" s="22" t="s">
        <v>77</v>
      </c>
      <c r="D70" s="22"/>
      <c r="E70" s="23">
        <v>301366.845</v>
      </c>
      <c r="F70" s="22"/>
      <c r="G70" s="22"/>
      <c r="H70" s="22"/>
      <c r="I70" s="26"/>
    </row>
    <row r="71" spans="2:9">
      <c r="B71" s="21"/>
      <c r="C71" s="22" t="s">
        <v>78</v>
      </c>
      <c r="D71" s="22"/>
      <c r="E71" s="23">
        <v>92482</v>
      </c>
      <c r="F71" s="22"/>
      <c r="G71" s="22"/>
      <c r="H71" s="22"/>
      <c r="I71" s="26"/>
    </row>
    <row r="72" spans="2:9">
      <c r="B72" s="21"/>
      <c r="C72" s="22" t="s">
        <v>78</v>
      </c>
      <c r="D72" s="22"/>
      <c r="E72" s="23">
        <v>19640</v>
      </c>
      <c r="F72" s="22"/>
      <c r="G72" s="22"/>
      <c r="H72" s="22"/>
      <c r="I72" s="26"/>
    </row>
    <row r="73" spans="2:9">
      <c r="B73" s="21"/>
      <c r="C73" s="22" t="s">
        <v>78</v>
      </c>
      <c r="D73" s="22"/>
      <c r="E73" s="23">
        <v>3</v>
      </c>
      <c r="F73" s="22"/>
      <c r="G73" s="22"/>
      <c r="H73" s="22"/>
      <c r="I73" s="26"/>
    </row>
    <row r="74" spans="2:9">
      <c r="B74" s="21"/>
      <c r="C74" s="22" t="s">
        <v>78</v>
      </c>
      <c r="D74" s="22"/>
      <c r="E74" s="23">
        <v>395932</v>
      </c>
      <c r="F74" s="22"/>
      <c r="G74" s="22"/>
      <c r="H74" s="22"/>
      <c r="I74" s="26"/>
    </row>
    <row r="75" spans="2:9">
      <c r="B75" s="21"/>
      <c r="C75" s="22" t="s">
        <v>79</v>
      </c>
      <c r="D75" s="22"/>
      <c r="E75" s="23">
        <v>1</v>
      </c>
      <c r="F75" s="22"/>
      <c r="G75" s="22"/>
      <c r="H75" s="22"/>
      <c r="I75" s="26"/>
    </row>
    <row r="76" spans="2:9">
      <c r="B76" s="21"/>
      <c r="C76" s="22" t="s">
        <v>80</v>
      </c>
      <c r="D76" s="22"/>
      <c r="E76" s="23">
        <v>70</v>
      </c>
      <c r="F76" s="22"/>
      <c r="G76" s="22"/>
      <c r="H76" s="22"/>
      <c r="I76" s="26"/>
    </row>
    <row r="77" spans="2:9">
      <c r="B77" s="21" t="s">
        <v>81</v>
      </c>
      <c r="C77" s="22"/>
      <c r="D77" s="22"/>
      <c r="E77" s="23"/>
      <c r="F77" s="22"/>
      <c r="G77" s="22"/>
      <c r="H77" s="22"/>
      <c r="I77" s="26"/>
    </row>
    <row r="78" spans="2:9">
      <c r="B78" s="21" t="s">
        <v>82</v>
      </c>
      <c r="C78" s="22"/>
      <c r="D78" s="22"/>
      <c r="E78" s="23"/>
      <c r="F78" s="22"/>
      <c r="G78" s="22"/>
      <c r="H78" s="22"/>
      <c r="I78" s="26"/>
    </row>
    <row r="79" spans="2:9">
      <c r="B79" s="21" t="s">
        <v>83</v>
      </c>
      <c r="C79" s="22"/>
      <c r="D79" s="22"/>
      <c r="E79" s="23"/>
      <c r="F79" s="22"/>
      <c r="G79" s="22"/>
      <c r="H79" s="22"/>
      <c r="I79" s="26"/>
    </row>
    <row r="80" spans="2:9">
      <c r="B80" s="21" t="s">
        <v>84</v>
      </c>
      <c r="C80" s="22" t="s">
        <v>85</v>
      </c>
      <c r="D80" s="22"/>
      <c r="E80" s="23">
        <v>0</v>
      </c>
      <c r="F80" s="22"/>
      <c r="G80" s="22"/>
      <c r="H80" s="22"/>
      <c r="I80" s="26"/>
    </row>
    <row r="81" spans="2:9">
      <c r="B81" s="21"/>
      <c r="C81" s="22" t="s">
        <v>86</v>
      </c>
      <c r="D81" s="22"/>
      <c r="E81" s="23">
        <v>0</v>
      </c>
      <c r="F81" s="22"/>
      <c r="G81" s="22"/>
      <c r="H81" s="22"/>
      <c r="I81" s="26"/>
    </row>
    <row r="82" spans="2:9">
      <c r="B82" s="21"/>
      <c r="C82" s="22" t="s">
        <v>87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88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89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89</v>
      </c>
      <c r="D85" s="22"/>
      <c r="E85" s="23">
        <v>0</v>
      </c>
      <c r="F85" s="22"/>
      <c r="G85" s="22"/>
      <c r="H85" s="22"/>
      <c r="I85" s="26"/>
    </row>
    <row r="86" spans="2:9">
      <c r="B86" s="21" t="s">
        <v>90</v>
      </c>
      <c r="C86" s="22" t="s">
        <v>91</v>
      </c>
      <c r="D86" s="22"/>
      <c r="E86" s="23">
        <v>5639457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3150000</v>
      </c>
      <c r="F87" s="22"/>
      <c r="G87" s="22"/>
      <c r="H87" s="22"/>
      <c r="I87" s="26"/>
    </row>
    <row r="88" spans="2:9">
      <c r="B88" s="27" t="s">
        <v>94</v>
      </c>
      <c r="C88" s="27"/>
      <c r="D88" s="27"/>
      <c r="E88" s="28">
        <f>SUM(E32:E87)</f>
        <v>0</v>
      </c>
      <c r="F88" s="29" t="s">
        <v>95</v>
      </c>
      <c r="G88" s="29"/>
      <c r="H88" s="29"/>
      <c r="I88" s="30">
        <f>SUM(I32:I87)</f>
        <v>0</v>
      </c>
    </row>
    <row r="89" spans="2:9">
      <c r="B89" s="31" t="s">
        <v>96</v>
      </c>
      <c r="C89" s="31"/>
      <c r="D89" s="31"/>
      <c r="E89" s="31"/>
      <c r="F89" s="31"/>
      <c r="G89" s="31"/>
      <c r="H89" s="31"/>
      <c r="I89" s="31"/>
    </row>
    <row r="90" spans="2:9">
      <c r="B90" s="32">
        <f>E88-I88</f>
        <v>0</v>
      </c>
      <c r="C90" s="32"/>
      <c r="D90" s="32"/>
      <c r="E90" s="32"/>
      <c r="F90" s="32"/>
      <c r="G90" s="32"/>
      <c r="H90" s="32"/>
      <c r="I90" s="32"/>
    </row>
    <row r="93" spans="2:9">
      <c r="B93" s="1" t="s">
        <v>97</v>
      </c>
    </row>
    <row r="94" spans="2:9">
      <c r="B94" t="s">
        <v>98</v>
      </c>
    </row>
    <row r="95" spans="2:9">
      <c r="B95" s="33" t="s">
        <v>99</v>
      </c>
      <c r="C95" s="34" t="s">
        <v>100</v>
      </c>
      <c r="D95" s="34"/>
      <c r="E95" s="34" t="s">
        <v>101</v>
      </c>
      <c r="F95" s="34" t="s">
        <v>102</v>
      </c>
      <c r="G95" s="34" t="s">
        <v>103</v>
      </c>
      <c r="H95" s="34" t="s">
        <v>104</v>
      </c>
    </row>
    <row r="96" spans="2:9">
      <c r="B96" s="35" t="s">
        <v>105</v>
      </c>
      <c r="C96" s="36" t="s">
        <v>85</v>
      </c>
      <c r="D96" s="36"/>
      <c r="E96" s="37" t="s">
        <v>106</v>
      </c>
      <c r="F96" s="38">
        <v>0</v>
      </c>
      <c r="G96" s="39">
        <v>43560</v>
      </c>
      <c r="H96" s="39">
        <v>49039</v>
      </c>
    </row>
    <row r="97" spans="2:10">
      <c r="B97" s="35" t="s">
        <v>105</v>
      </c>
      <c r="C97" s="36" t="s">
        <v>86</v>
      </c>
      <c r="D97" s="36"/>
      <c r="E97" s="37" t="s">
        <v>106</v>
      </c>
      <c r="F97" s="38">
        <v>0</v>
      </c>
      <c r="G97" s="39">
        <v>43585</v>
      </c>
      <c r="H97" s="39">
        <v>70979</v>
      </c>
    </row>
    <row r="98" spans="2:10">
      <c r="B98" s="35" t="s">
        <v>107</v>
      </c>
      <c r="C98" s="36" t="s">
        <v>87</v>
      </c>
      <c r="D98" s="36"/>
      <c r="E98" s="37" t="s">
        <v>106</v>
      </c>
      <c r="F98" s="38">
        <v>0</v>
      </c>
      <c r="G98" s="39">
        <v>45617</v>
      </c>
      <c r="H98" s="39">
        <v>71184</v>
      </c>
    </row>
    <row r="99" spans="2:10">
      <c r="B99" s="35" t="s">
        <v>105</v>
      </c>
      <c r="C99" s="36" t="s">
        <v>88</v>
      </c>
      <c r="D99" s="36"/>
      <c r="E99" s="37" t="s">
        <v>106</v>
      </c>
      <c r="F99" s="38">
        <v>0</v>
      </c>
      <c r="G99" s="39">
        <v>43511</v>
      </c>
      <c r="H99" s="39">
        <v>50816</v>
      </c>
    </row>
    <row r="100" spans="2:10">
      <c r="B100" s="35" t="s">
        <v>105</v>
      </c>
      <c r="C100" s="36" t="s">
        <v>89</v>
      </c>
      <c r="D100" s="36"/>
      <c r="E100" s="37" t="s">
        <v>106</v>
      </c>
      <c r="F100" s="38">
        <v>0</v>
      </c>
      <c r="G100" s="39">
        <v>43514</v>
      </c>
      <c r="H100" s="39">
        <v>48993</v>
      </c>
    </row>
    <row r="101" spans="2:10">
      <c r="B101" s="35" t="s">
        <v>105</v>
      </c>
      <c r="C101" s="36" t="s">
        <v>89</v>
      </c>
      <c r="D101" s="36"/>
      <c r="E101" s="37" t="s">
        <v>106</v>
      </c>
      <c r="F101" s="38">
        <v>0</v>
      </c>
      <c r="G101" s="39">
        <v>43517</v>
      </c>
      <c r="H101" s="39">
        <v>48996</v>
      </c>
    </row>
    <row r="102" spans="2:10">
      <c r="B102" s="40" t="s">
        <v>13</v>
      </c>
      <c r="C102" s="41" t="s">
        <v>108</v>
      </c>
      <c r="D102" s="41"/>
      <c r="E102" s="41" t="s">
        <v>109</v>
      </c>
      <c r="F102" s="41" t="s">
        <v>110</v>
      </c>
      <c r="G102" s="41"/>
      <c r="H102" s="42"/>
    </row>
    <row r="103" spans="2:10">
      <c r="B103" s="40"/>
      <c r="C103" s="43" t="s">
        <v>111</v>
      </c>
      <c r="D103" s="43"/>
      <c r="E103" s="43" t="s">
        <v>112</v>
      </c>
      <c r="F103" s="44">
        <f>SUM(F96:F101)</f>
        <v>0</v>
      </c>
      <c r="G103" s="43"/>
      <c r="H103" s="45"/>
    </row>
    <row r="105" spans="2:10">
      <c r="B105" s="1" t="s">
        <v>113</v>
      </c>
    </row>
    <row r="106" spans="2:10">
      <c r="B106" t="s">
        <v>114</v>
      </c>
    </row>
    <row r="107" spans="2:10">
      <c r="B107" s="33" t="s">
        <v>115</v>
      </c>
      <c r="C107" s="34" t="s">
        <v>99</v>
      </c>
      <c r="D107" s="34" t="s">
        <v>33</v>
      </c>
      <c r="E107" s="34"/>
      <c r="F107" s="34" t="s">
        <v>116</v>
      </c>
      <c r="G107" s="34" t="s">
        <v>117</v>
      </c>
      <c r="H107" s="34" t="s">
        <v>118</v>
      </c>
      <c r="I107" s="34" t="s">
        <v>119</v>
      </c>
      <c r="J107" s="34" t="s">
        <v>104</v>
      </c>
    </row>
    <row r="108" spans="2:10">
      <c r="B108" s="35" t="s">
        <v>120</v>
      </c>
      <c r="C108" s="36" t="s">
        <v>121</v>
      </c>
      <c r="D108" s="36" t="s">
        <v>64</v>
      </c>
      <c r="E108" s="36"/>
      <c r="F108" s="38">
        <v>247299</v>
      </c>
      <c r="G108" s="38">
        <v>246000</v>
      </c>
      <c r="H108" s="46">
        <v>-0.5252750718765543</v>
      </c>
      <c r="I108" s="39"/>
      <c r="J108" s="39"/>
    </row>
    <row r="109" spans="2:10">
      <c r="B109" s="35" t="s">
        <v>120</v>
      </c>
      <c r="C109" s="36" t="s">
        <v>121</v>
      </c>
      <c r="D109" s="36" t="s">
        <v>65</v>
      </c>
      <c r="E109" s="36"/>
      <c r="F109" s="38">
        <v>3640</v>
      </c>
      <c r="G109" s="38">
        <v>3560</v>
      </c>
      <c r="H109" s="46">
        <v>-2.197802197802198</v>
      </c>
      <c r="I109" s="39"/>
      <c r="J109" s="39"/>
    </row>
    <row r="110" spans="2:10">
      <c r="B110" s="35" t="s">
        <v>120</v>
      </c>
      <c r="C110" s="36" t="s">
        <v>122</v>
      </c>
      <c r="D110" s="36" t="s">
        <v>66</v>
      </c>
      <c r="E110" s="36"/>
      <c r="F110" s="38">
        <v>1189611</v>
      </c>
      <c r="G110" s="38">
        <v>1541976</v>
      </c>
      <c r="H110" s="46">
        <v>29.62018676693474</v>
      </c>
      <c r="I110" s="39"/>
      <c r="J110" s="39"/>
    </row>
    <row r="111" spans="2:10">
      <c r="B111" s="35" t="s">
        <v>120</v>
      </c>
      <c r="C111" s="36" t="s">
        <v>122</v>
      </c>
      <c r="D111" s="36" t="s">
        <v>67</v>
      </c>
      <c r="E111" s="36"/>
      <c r="F111" s="38">
        <v>1244139</v>
      </c>
      <c r="G111" s="38">
        <v>1417900</v>
      </c>
      <c r="H111" s="46">
        <v>13.96636549453076</v>
      </c>
      <c r="I111" s="39"/>
      <c r="J111" s="39"/>
    </row>
    <row r="112" spans="2:10">
      <c r="B112" s="35" t="s">
        <v>120</v>
      </c>
      <c r="C112" s="36" t="s">
        <v>122</v>
      </c>
      <c r="D112" s="36" t="s">
        <v>68</v>
      </c>
      <c r="E112" s="36"/>
      <c r="F112" s="38">
        <v>1355824</v>
      </c>
      <c r="G112" s="38">
        <v>1258751</v>
      </c>
      <c r="H112" s="46">
        <v>-7.159705094466538</v>
      </c>
      <c r="I112" s="39"/>
      <c r="J112" s="39"/>
    </row>
    <row r="113" spans="2:10">
      <c r="B113" s="35" t="s">
        <v>120</v>
      </c>
      <c r="C113" s="36" t="s">
        <v>122</v>
      </c>
      <c r="D113" s="36" t="s">
        <v>69</v>
      </c>
      <c r="E113" s="36"/>
      <c r="F113" s="38">
        <v>192590</v>
      </c>
      <c r="G113" s="38">
        <v>110467</v>
      </c>
      <c r="H113" s="46">
        <v>-42.64136247987954</v>
      </c>
      <c r="I113" s="39"/>
      <c r="J113" s="39"/>
    </row>
    <row r="114" spans="2:10">
      <c r="B114" s="35" t="s">
        <v>120</v>
      </c>
      <c r="C114" s="36" t="s">
        <v>123</v>
      </c>
      <c r="D114" s="36" t="s">
        <v>70</v>
      </c>
      <c r="E114" s="36"/>
      <c r="F114" s="38">
        <v>83000</v>
      </c>
      <c r="G114" s="38">
        <v>53900</v>
      </c>
      <c r="H114" s="46">
        <v>-35.06024096385542</v>
      </c>
      <c r="I114" s="39"/>
      <c r="J114" s="39"/>
    </row>
    <row r="115" spans="2:10">
      <c r="B115" s="35" t="s">
        <v>120</v>
      </c>
      <c r="C115" s="36" t="s">
        <v>124</v>
      </c>
      <c r="D115" s="36" t="s">
        <v>71</v>
      </c>
      <c r="E115" s="36"/>
      <c r="F115" s="38">
        <v>1384</v>
      </c>
      <c r="G115" s="38">
        <v>1385</v>
      </c>
      <c r="H115" s="46">
        <v>0.07225433526011561</v>
      </c>
      <c r="I115" s="39"/>
      <c r="J115" s="39"/>
    </row>
    <row r="116" spans="2:10">
      <c r="B116" s="47" t="s">
        <v>13</v>
      </c>
      <c r="C116" s="41"/>
      <c r="D116" s="41" t="s">
        <v>125</v>
      </c>
      <c r="E116" s="41"/>
      <c r="F116" s="41" t="s">
        <v>126</v>
      </c>
      <c r="G116" s="41" t="s">
        <v>127</v>
      </c>
      <c r="H116" s="41" t="s">
        <v>128</v>
      </c>
      <c r="I116" s="41"/>
      <c r="J116" s="42"/>
    </row>
    <row r="117" spans="2:10">
      <c r="B117" s="47"/>
      <c r="C117" s="43"/>
      <c r="D117" s="43" t="s">
        <v>129</v>
      </c>
      <c r="E117" s="43"/>
      <c r="F117" s="44">
        <f>SUM(F108:F115)</f>
        <v>0</v>
      </c>
      <c r="G117" s="44">
        <f>SUM(G108:G115)</f>
        <v>0</v>
      </c>
      <c r="H117" s="48">
        <f>(SUM(G108:G115) - SUM(F108:F115)) * 100 / IF(SUM(F108:F115), SUM(F108:F115), 1)</f>
        <v>0</v>
      </c>
      <c r="I117" s="43"/>
      <c r="J117" s="45"/>
    </row>
    <row r="119" spans="2:10">
      <c r="B119" s="1" t="s">
        <v>130</v>
      </c>
    </row>
    <row r="120" spans="2:10">
      <c r="B120" t="s">
        <v>131</v>
      </c>
    </row>
    <row r="121" spans="2:10">
      <c r="B121" s="49" t="s">
        <v>132</v>
      </c>
      <c r="C121" s="50" t="s">
        <v>99</v>
      </c>
      <c r="D121" s="50" t="s">
        <v>33</v>
      </c>
      <c r="E121" s="50"/>
      <c r="F121" s="50" t="s">
        <v>133</v>
      </c>
      <c r="G121" s="50" t="s">
        <v>134</v>
      </c>
      <c r="H121" s="50" t="s">
        <v>135</v>
      </c>
      <c r="I121" s="50" t="s">
        <v>136</v>
      </c>
      <c r="J121" s="50" t="s">
        <v>137</v>
      </c>
    </row>
    <row r="122" spans="2:10">
      <c r="B122" s="35"/>
      <c r="C122" s="36"/>
      <c r="D122" s="36"/>
      <c r="E122" s="36"/>
      <c r="F122" s="36"/>
      <c r="G122" s="36"/>
      <c r="H122" s="36"/>
      <c r="I122" s="36"/>
      <c r="J122" s="36"/>
    </row>
    <row r="123" spans="2:10">
      <c r="B123" s="47" t="s">
        <v>13</v>
      </c>
      <c r="C123" s="41"/>
      <c r="D123" s="41" t="s">
        <v>138</v>
      </c>
      <c r="E123" s="41"/>
      <c r="F123" s="41" t="s">
        <v>139</v>
      </c>
      <c r="G123" s="41" t="s">
        <v>140</v>
      </c>
      <c r="H123" s="41"/>
      <c r="I123" s="41"/>
      <c r="J123" s="42"/>
    </row>
    <row r="124" spans="2:10">
      <c r="B124" s="47"/>
      <c r="C124" s="43"/>
      <c r="D124" s="44">
        <f>SUM(0)</f>
        <v>0</v>
      </c>
      <c r="E124" s="44"/>
      <c r="F124" s="44">
        <f>SUM(F122)</f>
        <v>0</v>
      </c>
      <c r="G124" s="44">
        <f>SUM(G122)</f>
        <v>0</v>
      </c>
      <c r="H124" s="43"/>
      <c r="I124" s="43"/>
      <c r="J124" s="45"/>
    </row>
  </sheetData>
  <mergeCells count="154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76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B80:B85"/>
    <mergeCell ref="C80:D80"/>
    <mergeCell ref="C81:D81"/>
    <mergeCell ref="C82:D82"/>
    <mergeCell ref="C83:D83"/>
    <mergeCell ref="C84:D84"/>
    <mergeCell ref="C85:D85"/>
    <mergeCell ref="B86:B87"/>
    <mergeCell ref="C86:D86"/>
    <mergeCell ref="C87:D87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B88:D88"/>
    <mergeCell ref="F88:H88"/>
    <mergeCell ref="B89:I89"/>
    <mergeCell ref="B90:I90"/>
    <mergeCell ref="C95:D95"/>
    <mergeCell ref="C96:D96"/>
    <mergeCell ref="C97:D97"/>
    <mergeCell ref="C98:D98"/>
    <mergeCell ref="C99:D99"/>
    <mergeCell ref="C100:D100"/>
    <mergeCell ref="C101:D101"/>
    <mergeCell ref="B102:B103"/>
    <mergeCell ref="C102:D102"/>
    <mergeCell ref="C103:D103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B116:B117"/>
    <mergeCell ref="D116:E116"/>
    <mergeCell ref="D117:E117"/>
    <mergeCell ref="D121:E121"/>
    <mergeCell ref="D122:E122"/>
    <mergeCell ref="B123:B124"/>
    <mergeCell ref="D123:E123"/>
    <mergeCell ref="D124:E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141</v>
      </c>
      <c r="B1" s="51" t="s">
        <v>142</v>
      </c>
      <c r="C1" s="51" t="s">
        <v>143</v>
      </c>
      <c r="D1" s="51" t="s">
        <v>144</v>
      </c>
      <c r="E1" s="51" t="s">
        <v>145</v>
      </c>
      <c r="F1" s="51" t="s">
        <v>146</v>
      </c>
      <c r="G1" s="51" t="s">
        <v>34</v>
      </c>
      <c r="H1" s="51" t="s">
        <v>147</v>
      </c>
      <c r="I1" s="51" t="s">
        <v>148</v>
      </c>
      <c r="J1" s="51" t="s">
        <v>149</v>
      </c>
    </row>
    <row r="2" spans="1:10">
      <c r="A2" s="52">
        <v>46280</v>
      </c>
      <c r="B2" s="53">
        <v>0.8947337962962963</v>
      </c>
      <c r="C2" t="s">
        <v>150</v>
      </c>
      <c r="D2" t="s">
        <v>24</v>
      </c>
      <c r="E2" t="s">
        <v>26</v>
      </c>
      <c r="F2" t="s">
        <v>151</v>
      </c>
      <c r="G2">
        <v>-2000</v>
      </c>
      <c r="H2" t="s">
        <v>152</v>
      </c>
      <c r="I2" t="s">
        <v>153</v>
      </c>
    </row>
    <row r="3" spans="1:10">
      <c r="A3" s="52">
        <v>46280</v>
      </c>
      <c r="B3" s="53">
        <v>0.8685185185185185</v>
      </c>
      <c r="C3" t="s">
        <v>150</v>
      </c>
      <c r="D3" t="s">
        <v>20</v>
      </c>
      <c r="E3" t="s">
        <v>26</v>
      </c>
      <c r="F3" t="s">
        <v>154</v>
      </c>
      <c r="G3">
        <v>-8000</v>
      </c>
      <c r="H3" t="s">
        <v>152</v>
      </c>
      <c r="I3" t="s">
        <v>153</v>
      </c>
    </row>
    <row r="4" spans="1:10">
      <c r="A4" s="52">
        <v>46280</v>
      </c>
      <c r="B4" s="53">
        <v>0.6214351851851851</v>
      </c>
      <c r="C4" t="s">
        <v>150</v>
      </c>
      <c r="D4" t="s">
        <v>26</v>
      </c>
      <c r="E4" t="s">
        <v>26</v>
      </c>
      <c r="F4" t="s">
        <v>107</v>
      </c>
      <c r="G4">
        <v>-138340</v>
      </c>
      <c r="H4" t="s">
        <v>152</v>
      </c>
      <c r="I4" t="s">
        <v>155</v>
      </c>
    </row>
    <row r="5" spans="1:10">
      <c r="A5" s="52">
        <v>46280</v>
      </c>
      <c r="B5" s="53">
        <v>0.4831597222222222</v>
      </c>
      <c r="C5" t="s">
        <v>150</v>
      </c>
      <c r="D5" t="s">
        <v>22</v>
      </c>
      <c r="E5" t="s">
        <v>156</v>
      </c>
      <c r="F5" t="s">
        <v>157</v>
      </c>
      <c r="G5">
        <v>-11800</v>
      </c>
      <c r="H5" t="s">
        <v>152</v>
      </c>
      <c r="I5" t="s">
        <v>158</v>
      </c>
    </row>
    <row r="6" spans="1:10">
      <c r="A6" s="52">
        <v>46279</v>
      </c>
      <c r="B6" s="53">
        <v>0.8894675925925926</v>
      </c>
      <c r="C6" t="s">
        <v>150</v>
      </c>
      <c r="D6" t="s">
        <v>19</v>
      </c>
      <c r="E6" t="s">
        <v>159</v>
      </c>
      <c r="F6" t="s">
        <v>160</v>
      </c>
      <c r="G6">
        <v>-9160</v>
      </c>
      <c r="H6" t="s">
        <v>152</v>
      </c>
      <c r="I6" t="s">
        <v>161</v>
      </c>
    </row>
    <row r="7" spans="1:10">
      <c r="A7" s="52">
        <v>46279</v>
      </c>
      <c r="B7" s="53">
        <v>0.8891550925925926</v>
      </c>
      <c r="C7" t="s">
        <v>150</v>
      </c>
      <c r="D7" t="s">
        <v>19</v>
      </c>
      <c r="E7" t="s">
        <v>159</v>
      </c>
      <c r="F7" t="s">
        <v>160</v>
      </c>
      <c r="G7">
        <v>20930</v>
      </c>
      <c r="H7" t="s">
        <v>152</v>
      </c>
      <c r="I7" t="s">
        <v>161</v>
      </c>
    </row>
    <row r="8" spans="1:10">
      <c r="A8" s="52">
        <v>46279</v>
      </c>
      <c r="B8" s="53">
        <v>0.8763194444444444</v>
      </c>
      <c r="C8" t="s">
        <v>150</v>
      </c>
      <c r="D8" t="s">
        <v>17</v>
      </c>
      <c r="E8" t="s">
        <v>162</v>
      </c>
      <c r="F8" t="s">
        <v>163</v>
      </c>
      <c r="G8">
        <v>-5990</v>
      </c>
      <c r="H8" t="s">
        <v>152</v>
      </c>
      <c r="I8" t="s">
        <v>158</v>
      </c>
    </row>
    <row r="9" spans="1:10">
      <c r="A9" s="52">
        <v>46279</v>
      </c>
      <c r="B9" s="53">
        <v>0.7357870370370371</v>
      </c>
      <c r="C9" t="s">
        <v>150</v>
      </c>
      <c r="D9" t="s">
        <v>19</v>
      </c>
      <c r="E9" t="s">
        <v>159</v>
      </c>
      <c r="F9" t="s">
        <v>160</v>
      </c>
      <c r="G9">
        <v>-20930</v>
      </c>
      <c r="H9" t="s">
        <v>152</v>
      </c>
      <c r="I9" t="s">
        <v>161</v>
      </c>
    </row>
    <row r="10" spans="1:10">
      <c r="A10" s="52">
        <v>46277</v>
      </c>
      <c r="B10" s="53">
        <v>0.4770717592592593</v>
      </c>
      <c r="C10" t="s">
        <v>150</v>
      </c>
      <c r="D10" t="s">
        <v>20</v>
      </c>
      <c r="E10" t="s">
        <v>26</v>
      </c>
      <c r="F10" t="s">
        <v>164</v>
      </c>
      <c r="G10">
        <v>-55000</v>
      </c>
      <c r="H10" t="s">
        <v>152</v>
      </c>
      <c r="I10" t="s">
        <v>165</v>
      </c>
    </row>
    <row r="11" spans="1:10">
      <c r="A11" s="52">
        <v>46277</v>
      </c>
      <c r="B11" s="53">
        <v>0.4770717592592593</v>
      </c>
      <c r="C11" t="s">
        <v>150</v>
      </c>
      <c r="D11" t="s">
        <v>20</v>
      </c>
      <c r="E11" t="s">
        <v>26</v>
      </c>
      <c r="F11" t="s">
        <v>164</v>
      </c>
      <c r="G11">
        <v>-10999</v>
      </c>
      <c r="H11" t="s">
        <v>152</v>
      </c>
      <c r="I11" t="s">
        <v>165</v>
      </c>
    </row>
    <row r="12" spans="1:10">
      <c r="A12" s="52">
        <v>46276</v>
      </c>
      <c r="B12" s="53">
        <v>0.8516435185185185</v>
      </c>
      <c r="C12" t="s">
        <v>150</v>
      </c>
      <c r="D12" t="s">
        <v>24</v>
      </c>
      <c r="E12" t="s">
        <v>26</v>
      </c>
      <c r="F12" t="s">
        <v>151</v>
      </c>
      <c r="G12">
        <v>-5900</v>
      </c>
      <c r="H12" t="s">
        <v>152</v>
      </c>
      <c r="I12" t="s">
        <v>158</v>
      </c>
    </row>
    <row r="13" spans="1:10">
      <c r="A13" s="52">
        <v>46276</v>
      </c>
      <c r="B13" s="53">
        <v>0.825787037037037</v>
      </c>
      <c r="C13" t="s">
        <v>150</v>
      </c>
      <c r="D13" t="s">
        <v>20</v>
      </c>
      <c r="E13" t="s">
        <v>26</v>
      </c>
      <c r="F13" t="s">
        <v>166</v>
      </c>
      <c r="G13">
        <v>-42400</v>
      </c>
      <c r="H13" t="s">
        <v>152</v>
      </c>
      <c r="I13" t="s">
        <v>153</v>
      </c>
    </row>
    <row r="14" spans="1:10">
      <c r="A14" s="52">
        <v>46276</v>
      </c>
      <c r="B14" s="53">
        <v>0.5696875</v>
      </c>
      <c r="C14" t="s">
        <v>150</v>
      </c>
      <c r="D14" t="s">
        <v>17</v>
      </c>
      <c r="E14" t="s">
        <v>162</v>
      </c>
      <c r="F14" t="s">
        <v>163</v>
      </c>
      <c r="G14">
        <v>-5990</v>
      </c>
      <c r="H14" t="s">
        <v>152</v>
      </c>
      <c r="I14" t="s">
        <v>158</v>
      </c>
    </row>
    <row r="15" spans="1:10">
      <c r="A15" s="52">
        <v>46276</v>
      </c>
      <c r="B15" s="53">
        <v>0.4968287037037037</v>
      </c>
      <c r="C15" t="s">
        <v>150</v>
      </c>
      <c r="D15" t="s">
        <v>20</v>
      </c>
      <c r="E15" t="s">
        <v>26</v>
      </c>
      <c r="F15" t="s">
        <v>167</v>
      </c>
      <c r="G15">
        <v>-11000</v>
      </c>
      <c r="H15" t="s">
        <v>152</v>
      </c>
      <c r="I15" t="s">
        <v>153</v>
      </c>
    </row>
    <row r="16" spans="1:10">
      <c r="A16" s="52">
        <v>46275</v>
      </c>
      <c r="B16" s="53">
        <v>0.9861805555555555</v>
      </c>
      <c r="C16" t="s">
        <v>150</v>
      </c>
      <c r="D16" t="s">
        <v>22</v>
      </c>
      <c r="E16" t="s">
        <v>156</v>
      </c>
      <c r="F16" t="s">
        <v>168</v>
      </c>
      <c r="G16">
        <v>-8999</v>
      </c>
      <c r="H16" t="s">
        <v>152</v>
      </c>
      <c r="I16" t="s">
        <v>169</v>
      </c>
    </row>
    <row r="17" spans="1:9">
      <c r="A17" s="52">
        <v>46275</v>
      </c>
      <c r="B17" s="53">
        <v>0.5209143518518519</v>
      </c>
      <c r="C17" t="s">
        <v>150</v>
      </c>
      <c r="D17" t="s">
        <v>25</v>
      </c>
      <c r="E17" t="s">
        <v>170</v>
      </c>
      <c r="F17" t="s">
        <v>171</v>
      </c>
      <c r="G17">
        <v>-16900</v>
      </c>
      <c r="H17" t="s">
        <v>152</v>
      </c>
      <c r="I17" t="s">
        <v>158</v>
      </c>
    </row>
    <row r="18" spans="1:9">
      <c r="A18" s="52">
        <v>46275</v>
      </c>
      <c r="B18" s="53">
        <v>0.484375</v>
      </c>
      <c r="C18" t="s">
        <v>150</v>
      </c>
      <c r="D18" t="s">
        <v>20</v>
      </c>
      <c r="E18" t="s">
        <v>26</v>
      </c>
      <c r="F18" t="s">
        <v>172</v>
      </c>
      <c r="G18">
        <v>-10950</v>
      </c>
      <c r="H18" t="s">
        <v>152</v>
      </c>
      <c r="I18" t="s">
        <v>158</v>
      </c>
    </row>
    <row r="19" spans="1:9">
      <c r="A19" s="52">
        <v>46275</v>
      </c>
      <c r="B19" s="53">
        <v>0.4681018518518518</v>
      </c>
      <c r="C19" t="s">
        <v>150</v>
      </c>
      <c r="D19" t="s">
        <v>22</v>
      </c>
      <c r="E19" t="s">
        <v>156</v>
      </c>
      <c r="F19" t="s">
        <v>173</v>
      </c>
      <c r="G19">
        <v>-8990</v>
      </c>
      <c r="H19" t="s">
        <v>152</v>
      </c>
      <c r="I19" t="s">
        <v>158</v>
      </c>
    </row>
    <row r="20" spans="1:9">
      <c r="A20" s="52">
        <v>46275</v>
      </c>
      <c r="B20" s="53">
        <v>0</v>
      </c>
      <c r="C20" t="s">
        <v>150</v>
      </c>
      <c r="D20" t="s">
        <v>22</v>
      </c>
      <c r="E20" t="s">
        <v>156</v>
      </c>
      <c r="F20" t="s">
        <v>174</v>
      </c>
      <c r="G20">
        <v>8070</v>
      </c>
      <c r="H20" t="s">
        <v>152</v>
      </c>
      <c r="I20" t="s">
        <v>158</v>
      </c>
    </row>
    <row r="21" spans="1:9">
      <c r="A21" s="52">
        <v>46274</v>
      </c>
      <c r="B21" s="53">
        <v>0.5143402777777778</v>
      </c>
      <c r="C21" t="s">
        <v>150</v>
      </c>
      <c r="D21" t="s">
        <v>23</v>
      </c>
      <c r="E21" t="s">
        <v>175</v>
      </c>
      <c r="F21" t="s">
        <v>176</v>
      </c>
      <c r="G21">
        <v>-75700</v>
      </c>
      <c r="H21" t="s">
        <v>152</v>
      </c>
      <c r="I21" t="s">
        <v>153</v>
      </c>
    </row>
    <row r="22" spans="1:9">
      <c r="A22" s="52">
        <v>46274</v>
      </c>
      <c r="B22" s="53">
        <v>0.4895833333333333</v>
      </c>
      <c r="C22" t="s">
        <v>150</v>
      </c>
      <c r="D22" t="s">
        <v>22</v>
      </c>
      <c r="E22" t="s">
        <v>156</v>
      </c>
      <c r="F22" t="s">
        <v>177</v>
      </c>
      <c r="G22">
        <v>-15960</v>
      </c>
      <c r="H22" t="s">
        <v>152</v>
      </c>
      <c r="I22" t="s">
        <v>161</v>
      </c>
    </row>
    <row r="23" spans="1:9">
      <c r="A23" s="52">
        <v>46273</v>
      </c>
      <c r="B23" s="53">
        <v>0.7139236111111111</v>
      </c>
      <c r="C23" t="s">
        <v>150</v>
      </c>
      <c r="D23" t="s">
        <v>20</v>
      </c>
      <c r="E23" t="s">
        <v>26</v>
      </c>
      <c r="F23" t="s">
        <v>164</v>
      </c>
      <c r="G23">
        <v>-11000</v>
      </c>
      <c r="H23" t="s">
        <v>152</v>
      </c>
      <c r="I23" t="s">
        <v>165</v>
      </c>
    </row>
    <row r="24" spans="1:9">
      <c r="A24" s="52">
        <v>46273</v>
      </c>
      <c r="B24" s="53">
        <v>0.7139236111111111</v>
      </c>
      <c r="C24" t="s">
        <v>150</v>
      </c>
      <c r="D24" t="s">
        <v>20</v>
      </c>
      <c r="E24" t="s">
        <v>26</v>
      </c>
      <c r="F24" t="s">
        <v>164</v>
      </c>
      <c r="G24">
        <v>-3200</v>
      </c>
      <c r="H24" t="s">
        <v>152</v>
      </c>
      <c r="I24" t="s">
        <v>165</v>
      </c>
    </row>
    <row r="25" spans="1:9">
      <c r="A25" s="52">
        <v>46273</v>
      </c>
      <c r="B25" s="53">
        <v>0.4848263888888889</v>
      </c>
      <c r="C25" t="s">
        <v>150</v>
      </c>
      <c r="D25" t="s">
        <v>24</v>
      </c>
      <c r="E25" t="s">
        <v>26</v>
      </c>
      <c r="F25" t="s">
        <v>178</v>
      </c>
      <c r="G25">
        <v>-5800</v>
      </c>
      <c r="H25" t="s">
        <v>152</v>
      </c>
      <c r="I25" t="s">
        <v>158</v>
      </c>
    </row>
    <row r="26" spans="1:9">
      <c r="A26" s="52">
        <v>46273</v>
      </c>
      <c r="B26" s="53">
        <v>0.4845949074074074</v>
      </c>
      <c r="C26" t="s">
        <v>150</v>
      </c>
      <c r="D26" t="s">
        <v>24</v>
      </c>
      <c r="E26" t="s">
        <v>26</v>
      </c>
      <c r="F26" t="s">
        <v>178</v>
      </c>
      <c r="G26">
        <v>-5800</v>
      </c>
      <c r="H26" t="s">
        <v>152</v>
      </c>
      <c r="I26" t="s">
        <v>158</v>
      </c>
    </row>
    <row r="27" spans="1:9">
      <c r="A27" s="52">
        <v>46272</v>
      </c>
      <c r="B27" s="53">
        <v>0.7846180555555555</v>
      </c>
      <c r="C27" t="s">
        <v>150</v>
      </c>
      <c r="D27" t="s">
        <v>22</v>
      </c>
      <c r="E27" t="s">
        <v>156</v>
      </c>
      <c r="F27" t="s">
        <v>179</v>
      </c>
      <c r="G27">
        <v>-45500</v>
      </c>
      <c r="H27" t="s">
        <v>152</v>
      </c>
      <c r="I27" t="s">
        <v>161</v>
      </c>
    </row>
    <row r="28" spans="1:9">
      <c r="A28" s="52">
        <v>46272</v>
      </c>
      <c r="B28" s="53">
        <v>0.6604050925925926</v>
      </c>
      <c r="C28" t="s">
        <v>150</v>
      </c>
      <c r="D28" t="s">
        <v>22</v>
      </c>
      <c r="E28" t="s">
        <v>156</v>
      </c>
      <c r="F28" t="s">
        <v>179</v>
      </c>
      <c r="G28">
        <v>-13290</v>
      </c>
      <c r="H28" t="s">
        <v>152</v>
      </c>
      <c r="I28" t="s">
        <v>161</v>
      </c>
    </row>
    <row r="29" spans="1:9">
      <c r="A29" s="52">
        <v>46272</v>
      </c>
      <c r="B29" s="53">
        <v>0.6207638888888889</v>
      </c>
      <c r="C29" t="s">
        <v>150</v>
      </c>
      <c r="D29" t="s">
        <v>22</v>
      </c>
      <c r="E29" t="s">
        <v>156</v>
      </c>
      <c r="F29" t="s">
        <v>180</v>
      </c>
      <c r="G29">
        <v>-5999</v>
      </c>
      <c r="H29" t="s">
        <v>152</v>
      </c>
      <c r="I29" t="s">
        <v>158</v>
      </c>
    </row>
    <row r="30" spans="1:9">
      <c r="A30" s="52">
        <v>46272</v>
      </c>
      <c r="B30" s="53">
        <v>0.5659837962962962</v>
      </c>
      <c r="C30" t="s">
        <v>150</v>
      </c>
      <c r="D30" t="s">
        <v>22</v>
      </c>
      <c r="E30" t="s">
        <v>156</v>
      </c>
      <c r="F30" t="s">
        <v>179</v>
      </c>
      <c r="G30">
        <v>-24290</v>
      </c>
      <c r="H30" t="s">
        <v>152</v>
      </c>
      <c r="I30" t="s">
        <v>161</v>
      </c>
    </row>
    <row r="31" spans="1:9">
      <c r="A31" s="52">
        <v>46272</v>
      </c>
      <c r="B31" s="53">
        <v>0</v>
      </c>
      <c r="C31" t="s">
        <v>150</v>
      </c>
      <c r="D31" t="s">
        <v>22</v>
      </c>
      <c r="E31" t="s">
        <v>156</v>
      </c>
      <c r="F31" t="s">
        <v>181</v>
      </c>
      <c r="G31">
        <v>2198</v>
      </c>
      <c r="H31" t="s">
        <v>152</v>
      </c>
      <c r="I31" t="s">
        <v>158</v>
      </c>
    </row>
    <row r="32" spans="1:9">
      <c r="A32" s="52">
        <v>46271</v>
      </c>
      <c r="B32" s="53">
        <v>0.7856828703703703</v>
      </c>
      <c r="C32" t="s">
        <v>150</v>
      </c>
      <c r="D32" t="s">
        <v>21</v>
      </c>
      <c r="E32" t="s">
        <v>26</v>
      </c>
      <c r="F32" t="s">
        <v>179</v>
      </c>
      <c r="G32">
        <v>-138000</v>
      </c>
      <c r="H32" t="s">
        <v>152</v>
      </c>
      <c r="I32" t="s">
        <v>161</v>
      </c>
    </row>
    <row r="33" spans="1:9">
      <c r="A33" s="52">
        <v>46271</v>
      </c>
      <c r="B33" s="53">
        <v>0.6121412037037037</v>
      </c>
      <c r="C33" t="s">
        <v>150</v>
      </c>
      <c r="D33" t="s">
        <v>24</v>
      </c>
      <c r="E33" t="s">
        <v>26</v>
      </c>
      <c r="F33" t="s">
        <v>182</v>
      </c>
      <c r="G33">
        <v>-5800</v>
      </c>
      <c r="H33" t="s">
        <v>152</v>
      </c>
      <c r="I33" t="s">
        <v>158</v>
      </c>
    </row>
    <row r="34" spans="1:9">
      <c r="A34" s="52">
        <v>46271</v>
      </c>
      <c r="B34" s="53">
        <v>0.4456134259259259</v>
      </c>
      <c r="C34" t="s">
        <v>150</v>
      </c>
      <c r="D34" t="s">
        <v>22</v>
      </c>
      <c r="E34" t="s">
        <v>156</v>
      </c>
      <c r="F34" t="s">
        <v>183</v>
      </c>
      <c r="G34">
        <v>-45900</v>
      </c>
      <c r="H34" t="s">
        <v>152</v>
      </c>
      <c r="I34" t="s">
        <v>161</v>
      </c>
    </row>
    <row r="35" spans="1:9">
      <c r="A35" s="52">
        <v>46270</v>
      </c>
      <c r="B35" s="53">
        <v>0.5874884259259259</v>
      </c>
      <c r="C35" t="s">
        <v>150</v>
      </c>
      <c r="D35" t="s">
        <v>18</v>
      </c>
      <c r="E35" t="s">
        <v>26</v>
      </c>
      <c r="F35" t="s">
        <v>184</v>
      </c>
      <c r="G35">
        <v>-24000</v>
      </c>
      <c r="H35" t="s">
        <v>152</v>
      </c>
      <c r="I35" t="s">
        <v>153</v>
      </c>
    </row>
    <row r="36" spans="1:9">
      <c r="A36" s="52">
        <v>46269</v>
      </c>
      <c r="B36" s="53">
        <v>0.8024074074074075</v>
      </c>
      <c r="C36" t="s">
        <v>150</v>
      </c>
      <c r="D36" t="s">
        <v>26</v>
      </c>
      <c r="E36" t="s">
        <v>26</v>
      </c>
      <c r="F36" t="s">
        <v>185</v>
      </c>
      <c r="G36">
        <v>-107500</v>
      </c>
      <c r="H36" t="s">
        <v>152</v>
      </c>
      <c r="I36" t="s">
        <v>155</v>
      </c>
    </row>
    <row r="37" spans="1:9">
      <c r="A37" s="52">
        <v>46269</v>
      </c>
      <c r="B37" s="53">
        <v>0.635150462962963</v>
      </c>
      <c r="C37" t="s">
        <v>150</v>
      </c>
      <c r="D37" t="s">
        <v>17</v>
      </c>
      <c r="E37" t="s">
        <v>26</v>
      </c>
      <c r="F37" t="s">
        <v>186</v>
      </c>
      <c r="G37">
        <v>-10750</v>
      </c>
      <c r="H37" t="s">
        <v>152</v>
      </c>
      <c r="I37" t="s">
        <v>158</v>
      </c>
    </row>
    <row r="38" spans="1:9">
      <c r="A38" s="52">
        <v>46269</v>
      </c>
      <c r="B38" s="53">
        <v>0.634375</v>
      </c>
      <c r="C38" t="s">
        <v>150</v>
      </c>
      <c r="D38" t="s">
        <v>26</v>
      </c>
      <c r="E38" t="s">
        <v>26</v>
      </c>
      <c r="F38" t="s">
        <v>187</v>
      </c>
      <c r="G38">
        <v>-55000</v>
      </c>
      <c r="H38" t="s">
        <v>152</v>
      </c>
      <c r="I38" t="s">
        <v>155</v>
      </c>
    </row>
    <row r="39" spans="1:9">
      <c r="A39" s="52">
        <v>46269</v>
      </c>
      <c r="B39" s="53">
        <v>0.4866666666666667</v>
      </c>
      <c r="C39" t="s">
        <v>150</v>
      </c>
      <c r="D39" t="s">
        <v>20</v>
      </c>
      <c r="E39" t="s">
        <v>26</v>
      </c>
      <c r="F39" t="s">
        <v>188</v>
      </c>
      <c r="G39">
        <v>-5500</v>
      </c>
      <c r="H39" t="s">
        <v>152</v>
      </c>
      <c r="I39" t="s">
        <v>158</v>
      </c>
    </row>
    <row r="40" spans="1:9">
      <c r="A40" s="52">
        <v>46269</v>
      </c>
      <c r="B40" s="53">
        <v>0.4397569444444445</v>
      </c>
      <c r="C40" t="s">
        <v>150</v>
      </c>
      <c r="D40" t="s">
        <v>22</v>
      </c>
      <c r="E40" t="s">
        <v>156</v>
      </c>
      <c r="F40" t="s">
        <v>168</v>
      </c>
      <c r="G40">
        <v>-5700</v>
      </c>
      <c r="H40" t="s">
        <v>152</v>
      </c>
      <c r="I40" t="s">
        <v>169</v>
      </c>
    </row>
    <row r="41" spans="1:9">
      <c r="A41" s="52">
        <v>46268</v>
      </c>
      <c r="B41" s="53">
        <v>0.7114814814814815</v>
      </c>
      <c r="C41" t="s">
        <v>150</v>
      </c>
      <c r="D41" t="s">
        <v>20</v>
      </c>
      <c r="E41" t="s">
        <v>26</v>
      </c>
      <c r="F41" t="s">
        <v>164</v>
      </c>
      <c r="G41">
        <v>-66000</v>
      </c>
      <c r="H41" t="s">
        <v>152</v>
      </c>
      <c r="I41" t="s">
        <v>165</v>
      </c>
    </row>
    <row r="42" spans="1:9">
      <c r="A42" s="52">
        <v>46268</v>
      </c>
      <c r="B42" s="53">
        <v>0.7114814814814815</v>
      </c>
      <c r="C42" t="s">
        <v>150</v>
      </c>
      <c r="D42" t="s">
        <v>20</v>
      </c>
      <c r="E42" t="s">
        <v>26</v>
      </c>
      <c r="F42" t="s">
        <v>164</v>
      </c>
      <c r="G42">
        <v>-4500</v>
      </c>
      <c r="H42" t="s">
        <v>152</v>
      </c>
      <c r="I42" t="s">
        <v>165</v>
      </c>
    </row>
    <row r="43" spans="1:9">
      <c r="A43" s="52">
        <v>46267</v>
      </c>
      <c r="B43" s="53">
        <v>0.8048611111111111</v>
      </c>
      <c r="C43" t="s">
        <v>150</v>
      </c>
      <c r="D43" t="s">
        <v>19</v>
      </c>
      <c r="E43" t="s">
        <v>189</v>
      </c>
      <c r="F43" t="s">
        <v>190</v>
      </c>
      <c r="G43">
        <v>-10600</v>
      </c>
      <c r="H43" t="s">
        <v>152</v>
      </c>
      <c r="I43" t="s">
        <v>165</v>
      </c>
    </row>
    <row r="44" spans="1:9">
      <c r="A44" s="52">
        <v>46267</v>
      </c>
      <c r="B44" s="53">
        <v>0.6966203703703704</v>
      </c>
      <c r="C44" t="s">
        <v>150</v>
      </c>
      <c r="D44" t="s">
        <v>22</v>
      </c>
      <c r="E44" t="s">
        <v>156</v>
      </c>
      <c r="F44" t="s">
        <v>179</v>
      </c>
      <c r="G44">
        <v>-13300</v>
      </c>
      <c r="H44" t="s">
        <v>152</v>
      </c>
      <c r="I44" t="s">
        <v>161</v>
      </c>
    </row>
    <row r="45" spans="1:9">
      <c r="A45" s="52">
        <v>46267</v>
      </c>
      <c r="B45" s="53">
        <v>0.6948842592592592</v>
      </c>
      <c r="C45" t="s">
        <v>150</v>
      </c>
      <c r="D45" t="s">
        <v>22</v>
      </c>
      <c r="E45" t="s">
        <v>156</v>
      </c>
      <c r="F45" t="s">
        <v>179</v>
      </c>
      <c r="G45">
        <v>12300</v>
      </c>
      <c r="H45" t="s">
        <v>152</v>
      </c>
      <c r="I45" t="s">
        <v>161</v>
      </c>
    </row>
    <row r="46" spans="1:9">
      <c r="A46" s="52">
        <v>46267</v>
      </c>
      <c r="B46" s="53">
        <v>0.5620138888888889</v>
      </c>
      <c r="C46" t="s">
        <v>150</v>
      </c>
      <c r="D46" t="s">
        <v>22</v>
      </c>
      <c r="E46" t="s">
        <v>156</v>
      </c>
      <c r="F46" t="s">
        <v>191</v>
      </c>
      <c r="G46">
        <v>-120666</v>
      </c>
      <c r="H46" t="s">
        <v>152</v>
      </c>
      <c r="I46" t="s">
        <v>192</v>
      </c>
    </row>
    <row r="47" spans="1:9">
      <c r="A47" s="52">
        <v>46267</v>
      </c>
      <c r="B47" s="53">
        <v>0.4934722222222222</v>
      </c>
      <c r="C47" t="s">
        <v>150</v>
      </c>
      <c r="D47" t="s">
        <v>22</v>
      </c>
      <c r="E47" t="s">
        <v>156</v>
      </c>
      <c r="F47" t="s">
        <v>179</v>
      </c>
      <c r="G47">
        <v>-12300</v>
      </c>
      <c r="H47" t="s">
        <v>152</v>
      </c>
      <c r="I47" t="s">
        <v>161</v>
      </c>
    </row>
    <row r="48" spans="1:9">
      <c r="A48" s="52">
        <v>46267</v>
      </c>
      <c r="B48" s="53">
        <v>0.4763078703703704</v>
      </c>
      <c r="C48" t="s">
        <v>150</v>
      </c>
      <c r="D48" t="s">
        <v>24</v>
      </c>
      <c r="E48" t="s">
        <v>26</v>
      </c>
      <c r="F48" t="s">
        <v>178</v>
      </c>
      <c r="G48">
        <v>-9400</v>
      </c>
      <c r="H48" t="s">
        <v>152</v>
      </c>
      <c r="I48" t="s">
        <v>158</v>
      </c>
    </row>
    <row r="49" spans="1:9">
      <c r="A49" s="52">
        <v>46267</v>
      </c>
      <c r="B49" s="53">
        <v>0.4620833333333333</v>
      </c>
      <c r="C49" t="s">
        <v>150</v>
      </c>
      <c r="D49" t="s">
        <v>22</v>
      </c>
      <c r="E49" t="s">
        <v>156</v>
      </c>
      <c r="F49" t="s">
        <v>173</v>
      </c>
      <c r="G49">
        <v>-5900</v>
      </c>
      <c r="H49" t="s">
        <v>152</v>
      </c>
      <c r="I49" t="s">
        <v>158</v>
      </c>
    </row>
    <row r="50" spans="1:9">
      <c r="A50" s="52">
        <v>46267</v>
      </c>
      <c r="B50" s="53">
        <v>0.07296296296296297</v>
      </c>
      <c r="C50" t="s">
        <v>150</v>
      </c>
      <c r="D50" t="s">
        <v>22</v>
      </c>
      <c r="E50" t="s">
        <v>156</v>
      </c>
      <c r="F50" t="s">
        <v>173</v>
      </c>
      <c r="G50">
        <v>-9630</v>
      </c>
      <c r="H50" t="s">
        <v>152</v>
      </c>
      <c r="I50" t="s">
        <v>158</v>
      </c>
    </row>
    <row r="51" spans="1:9">
      <c r="A51" s="52">
        <v>46267</v>
      </c>
      <c r="B51" s="53">
        <v>0.07162037037037038</v>
      </c>
      <c r="C51" t="s">
        <v>150</v>
      </c>
      <c r="D51" t="s">
        <v>22</v>
      </c>
      <c r="E51" t="s">
        <v>156</v>
      </c>
      <c r="F51" t="s">
        <v>179</v>
      </c>
      <c r="G51">
        <v>-19600</v>
      </c>
      <c r="H51" t="s">
        <v>152</v>
      </c>
      <c r="I51" t="s">
        <v>161</v>
      </c>
    </row>
    <row r="52" spans="1:9">
      <c r="A52" s="52">
        <v>46267</v>
      </c>
      <c r="B52" s="53">
        <v>0.06905092592592593</v>
      </c>
      <c r="C52" t="s">
        <v>150</v>
      </c>
      <c r="D52" t="s">
        <v>22</v>
      </c>
      <c r="E52" t="s">
        <v>156</v>
      </c>
      <c r="F52" t="s">
        <v>179</v>
      </c>
      <c r="G52">
        <v>-16700</v>
      </c>
      <c r="H52" t="s">
        <v>152</v>
      </c>
      <c r="I52" t="s">
        <v>161</v>
      </c>
    </row>
    <row r="53" spans="1:9">
      <c r="A53" s="52">
        <v>46267</v>
      </c>
      <c r="B53" s="53">
        <v>0.05208333333333334</v>
      </c>
      <c r="C53" t="s">
        <v>150</v>
      </c>
      <c r="D53" t="s">
        <v>22</v>
      </c>
      <c r="E53" t="s">
        <v>156</v>
      </c>
      <c r="F53" t="s">
        <v>180</v>
      </c>
      <c r="G53">
        <v>-15960</v>
      </c>
      <c r="H53" t="s">
        <v>152</v>
      </c>
      <c r="I53" t="s">
        <v>158</v>
      </c>
    </row>
    <row r="54" spans="1:9">
      <c r="A54" s="52">
        <v>46266</v>
      </c>
      <c r="B54" s="53">
        <v>0.6265625</v>
      </c>
      <c r="C54" t="s">
        <v>150</v>
      </c>
      <c r="D54" t="s">
        <v>22</v>
      </c>
      <c r="E54" t="s">
        <v>193</v>
      </c>
      <c r="F54" t="s">
        <v>194</v>
      </c>
      <c r="G54">
        <v>-5000</v>
      </c>
      <c r="H54" t="s">
        <v>152</v>
      </c>
      <c r="I54" t="s">
        <v>158</v>
      </c>
    </row>
    <row r="55" spans="1:9">
      <c r="A55" s="52">
        <v>46266</v>
      </c>
      <c r="B55" s="53">
        <v>0.5183796296296296</v>
      </c>
      <c r="C55" t="s">
        <v>150</v>
      </c>
      <c r="D55" t="s">
        <v>22</v>
      </c>
      <c r="E55" t="s">
        <v>156</v>
      </c>
      <c r="F55" t="s">
        <v>179</v>
      </c>
      <c r="G55">
        <v>-25600</v>
      </c>
      <c r="H55" t="s">
        <v>152</v>
      </c>
      <c r="I55" t="s">
        <v>161</v>
      </c>
    </row>
    <row r="56" spans="1:9">
      <c r="A56" s="52">
        <v>46266</v>
      </c>
      <c r="B56" s="53">
        <v>0.4710995370370371</v>
      </c>
      <c r="C56" t="s">
        <v>150</v>
      </c>
      <c r="D56" t="s">
        <v>22</v>
      </c>
      <c r="E56" t="s">
        <v>156</v>
      </c>
      <c r="F56" t="s">
        <v>173</v>
      </c>
      <c r="G56">
        <v>-7900</v>
      </c>
      <c r="H56" t="s">
        <v>152</v>
      </c>
      <c r="I56" t="s">
        <v>158</v>
      </c>
    </row>
    <row r="57" spans="1:9">
      <c r="A57" s="52">
        <v>46266</v>
      </c>
      <c r="B57" s="53">
        <v>0.4085300925925926</v>
      </c>
      <c r="C57" t="s">
        <v>150</v>
      </c>
      <c r="D57" t="s">
        <v>22</v>
      </c>
      <c r="E57" t="s">
        <v>156</v>
      </c>
      <c r="F57" t="s">
        <v>195</v>
      </c>
      <c r="G57">
        <v>-2900</v>
      </c>
      <c r="H57" t="s">
        <v>152</v>
      </c>
      <c r="I57" t="s">
        <v>155</v>
      </c>
    </row>
    <row r="58" spans="1:9">
      <c r="A58" s="52">
        <v>46266</v>
      </c>
      <c r="B58" s="53">
        <v>0.3812847222222222</v>
      </c>
      <c r="C58" t="s">
        <v>150</v>
      </c>
      <c r="D58" t="s">
        <v>22</v>
      </c>
      <c r="E58" t="s">
        <v>156</v>
      </c>
      <c r="F58" t="s">
        <v>179</v>
      </c>
      <c r="G58">
        <v>-62050</v>
      </c>
      <c r="H58" t="s">
        <v>152</v>
      </c>
      <c r="I5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2026-10-03T13:10:35Z</dcterms:created>
  <dcterms:modified xsi:type="dcterms:W3CDTF">2026-10-03T13:10:35Z</dcterms:modified>
</cp:coreProperties>
</file>