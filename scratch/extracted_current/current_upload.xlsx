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<sst xmlns="http://schemas.openxmlformats.org/spreadsheetml/2006/main" count="768" uniqueCount="234">
  <si>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</si>
  <si>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</si>
  <si>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</si>
  <si>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</si>
  <si>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</si>
  <si>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</si>
  <si>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</si>
  <si>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</si>
  <si>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</si>
  <si>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</si>
  <si>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</si>
  <si>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</si>
  <si>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</si>
  <si>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</si>
  <si>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</si>
  <si>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2026-10</t>
  </si>
  <si>
    <t>월수입 총계</t>
  </si>
  <si>
    <t>고정비</t>
  </si>
  <si>
    <t>교통</t>
  </si>
  <si>
    <t>생활</t>
  </si>
  <si>
    <t>식비</t>
  </si>
  <si>
    <t>여행비</t>
  </si>
  <si>
    <t>온라인쇼핑</t>
  </si>
  <si>
    <t>의료/건강</t>
  </si>
  <si>
    <t>카페/간식</t>
  </si>
  <si>
    <t>패션/쇼핑/미용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</si>
  <si>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</si>
  <si>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</si>
  <si>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</si>
  <si>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</si>
  <si>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</si>
  <si>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</si>
  <si>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</si>
  <si>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</si>
  <si>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</si>
  <si>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</si>
  <si>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</si>
  <si>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</si>
  <si>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</si>
  <si>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</si>
  <si>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</si>
  <si>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</si>
  <si>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</si>
  <si>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</si>
  <si>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</si>
  <si>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</si>
  <si>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</si>
  <si>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</si>
  <si>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</si>
  <si>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</si>
  <si>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</si>
  <si>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</si>
  <si>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</si>
  <si>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</si>
  <si>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</si>
  <si>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</si>
  <si>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</si>
  <si>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</si>
  <si>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</si>
  <si>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</si>
  <si>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</si>
  <si>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군포愛머니(통합) - js********@gmail.com</t>
  </si>
  <si>
    <t>동백택시 선발급 카드 - *******536</t>
  </si>
  <si>
    <t>투자성 자산</t>
  </si>
  <si>
    <t>라메디텍</t>
  </si>
  <si>
    <t>켐트로닉스</t>
  </si>
  <si>
    <t>ACE 미국S&amp;P500</t>
  </si>
  <si>
    <t>신성이엔지</t>
  </si>
  <si>
    <t>케이엔알시스템</t>
  </si>
  <si>
    <t>노타</t>
  </si>
  <si>
    <t>유니셈</t>
  </si>
  <si>
    <t>TIGER 미국S&amp;P500</t>
  </si>
  <si>
    <t>TQQQ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</si>
  <si>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</si>
  <si>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</si>
  <si>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</si>
  <si>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</si>
  <si>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</si>
  <si>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</si>
  <si>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</si>
  <si>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</si>
  <si>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</si>
  <si>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</si>
  <si>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</si>
  <si>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</si>
  <si>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</si>
  <si>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</si>
  <si>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</si>
  <si>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</si>
  <si>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</si>
  <si>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</si>
  <si>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</si>
  <si>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</si>
  <si>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</si>
  <si>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</si>
  <si>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</si>
  <si>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</si>
  <si>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</si>
  <si>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</si>
  <si>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</si>
  <si>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</si>
  <si>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</si>
  <si>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</si>
  <si>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</si>
  <si>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</si>
  <si>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</si>
  <si>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</si>
  <si>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</si>
  <si>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</si>
  <si>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</si>
  <si>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</si>
  <si>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</si>
  <si>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</si>
  <si>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</si>
  <si>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</si>
  <si>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</si>
  <si>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</si>
  <si>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</si>
  <si>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</si>
  <si>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</si>
  <si>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</si>
  <si>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</si>
  <si>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</si>
  <si>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</si>
  <si>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</si>
  <si>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</si>
  <si>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</si>
  <si>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</si>
  <si>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</si>
  <si>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</si>
  <si>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</si>
  <si>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</si>
  <si>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</si>
  <si>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</si>
  <si>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13개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</si>
  <si>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</si>
  <si>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</si>
  <si>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</si>
  <si>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</si>
  <si>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</si>
  <si>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</si>
  <si>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</si>
  <si>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</si>
  <si>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</si>
  <si>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</si>
  <si>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</si>
  <si>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</si>
  <si>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</si>
  <si>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</si>
  <si>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</si>
  <si>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</si>
  <si>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</si>
  <si>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</si>
  <si>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</si>
  <si>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</si>
  <si>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</si>
  <si>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마키노차야 해운대엘시티점</t>
  </si>
  <si>
    <t>KRW</t>
  </si>
  <si>
    <t>네이버페이 간편결제</t>
  </si>
  <si>
    <t>인터넷쇼핑</t>
  </si>
  <si>
    <t>쿠팡</t>
  </si>
  <si>
    <t>신한카드_더모아</t>
  </si>
  <si>
    <t>(주)우아한형제들</t>
  </si>
  <si>
    <t>성형외과</t>
  </si>
  <si>
    <t>포헤어의원</t>
  </si>
  <si>
    <t>국민카드_KB국민플래티늄카드</t>
  </si>
  <si>
    <t>철도</t>
  </si>
  <si>
    <t>철도승차권  발매</t>
  </si>
  <si>
    <t>하나카드_MG+ S</t>
  </si>
  <si>
    <t>쿠팡(주)</t>
  </si>
  <si>
    <t>국민카드_톡마포</t>
  </si>
  <si>
    <t>토스쇼핑</t>
  </si>
  <si>
    <t>토스 간편결제</t>
  </si>
  <si>
    <t>통신비</t>
  </si>
  <si>
    <t>KT통신요금납부</t>
  </si>
  <si>
    <t>일구팔이 컵밥&amp;유부초밥</t>
  </si>
  <si>
    <t>주식회사 예스코</t>
  </si>
  <si>
    <t>한국우편사업진흥원</t>
  </si>
  <si>
    <t>쿠팡이츠</t>
  </si>
  <si>
    <t>산부인과</t>
  </si>
  <si>
    <t>민유선산부인과의</t>
  </si>
  <si>
    <t>우리카드_KT Plus</t>
  </si>
  <si>
    <t>스타벅스_주문</t>
  </si>
  <si>
    <t>KT통신요금 자동납부</t>
  </si>
  <si>
    <t>보조식품</t>
  </si>
  <si>
    <t>아이허브_KCP</t>
  </si>
  <si>
    <t>배민클럽_우아한형제들_네이버페이</t>
  </si>
  <si>
    <t>달아달아 독립문점</t>
  </si>
  <si>
    <t>영춘옥</t>
  </si>
  <si>
    <t>토스페이_토스쇼핑_TOSS</t>
  </si>
  <si>
    <t>(주)장인닭갈비 종로</t>
  </si>
  <si>
    <t>요기요</t>
  </si>
  <si>
    <t>페이코 간편결제</t>
  </si>
  <si>
    <t>마트</t>
  </si>
  <si>
    <t>지에스더프레시 무악현대점</t>
  </si>
  <si>
    <t>네이버파이낸셜주식회사</t>
  </si>
  <si>
    <t>일구팔이 컵밥&amp;</t>
  </si>
  <si>
    <t>쿠팡_KICC</t>
  </si>
  <si>
    <t>서비스구독</t>
  </si>
  <si>
    <t>쿠팡(와우멤버십)_나이스</t>
  </si>
  <si>
    <t>(주)에스에이치앤엠</t>
  </si>
  <si>
    <t>택시</t>
  </si>
  <si>
    <t>카카오T일반택시_0</t>
  </si>
  <si>
    <t>카카오T택시_가승인</t>
  </si>
  <si>
    <t>시외버스</t>
  </si>
  <si>
    <t>고속시외_현장</t>
  </si>
  <si>
    <t>대표일반_나이스</t>
  </si>
  <si>
    <t>결제/충전</t>
  </si>
  <si>
    <t>토스페이_일반</t>
  </si>
  <si>
    <t>카카오T일반택시_5</t>
  </si>
  <si>
    <t>인터넷상거래</t>
  </si>
  <si>
    <t>낙원커피</t>
  </si>
  <si>
    <t>이비인후과</t>
  </si>
  <si>
    <t>연세웰이비인후과</t>
  </si>
  <si>
    <t>백화점</t>
  </si>
  <si>
    <t>신세계면세점</t>
  </si>
  <si>
    <t>네이버페이</t>
  </si>
  <si>
    <t>맥도날드</t>
  </si>
  <si>
    <t>편의점</t>
  </si>
  <si>
    <t>CU(페럼타워점)</t>
  </si>
  <si>
    <t>(주)예스코(온라인)</t>
  </si>
  <si>
    <t>독일분식</t>
  </si>
  <si>
    <t>네이버플러스 멤버십</t>
  </si>
  <si>
    <t>하나카드 주식회사</t>
  </si>
  <si>
    <t>카카오페이 간편결제</t>
  </si>
  <si>
    <t>써브웨이  을지로입구점</t>
  </si>
  <si>
    <t>써브웨이(을지로입구점)</t>
  </si>
  <si>
    <t>온도 센터원</t>
  </si>
  <si>
    <t>신세계인터넷면세점_카카오페이</t>
  </si>
  <si>
    <t>내과/가정의학</t>
  </si>
  <si>
    <t>건강가족</t>
  </si>
  <si>
    <t>유앤아이의원</t>
  </si>
  <si>
    <t>바움피앤에스 주식회사</t>
  </si>
  <si>
    <t>씨유(CU) 반포대교점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</si>
</sst>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6" xfId="0" applyFill="1" applyBorder="1"/>
    <xf numFmtId="0" fontId="0" fillId="0" borderId="7" xfId="0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164" fontId="0" fillId="0" borderId="9" xfId="0" applyNumberFormat="1" applyBorder="1"/>
    <xf numFmtId="0" fontId="3" fillId="6" borderId="10" xfId="0" applyFont="1" applyFill="1" applyBorder="1" applyAlignment="1">
      <alignment horizontal="center" vertical="center"/>
    </xf>
    <xf numFmtId="164" fontId="2" fillId="7" borderId="1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6" xfId="0" applyBorder="1"/>
    <xf numFmtId="0" fontId="2" fillId="4" borderId="14" xfId="0" applyFont="1" applyFill="1" applyBorder="1" applyAlignment="1">
      <alignment horizontal="center" vertical="center"/>
    </xf>
    <xf numFmtId="164" fontId="2" fillId="8" borderId="15" xfId="0" applyNumberFormat="1" applyFont="1" applyFill="1" applyBorder="1"/>
    <xf numFmtId="0" fontId="2" fillId="4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/>
    <xf numFmtId="0" fontId="3" fillId="9" borderId="17" xfId="0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21" xfId="0" applyNumberFormat="1" applyBorder="1"/>
    <xf numFmtId="165" fontId="0" fillId="0" borderId="9" xfId="0" applyNumberFormat="1" applyBorder="1"/>
    <xf numFmtId="164" fontId="3" fillId="6" borderId="10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166" fontId="0" fillId="0" borderId="21" xfId="0" applyNumberFormat="1" applyBorder="1"/>
    <xf numFmtId="164" fontId="3" fillId="9" borderId="10" xfId="0" applyNumberFormat="1" applyFont="1" applyFill="1" applyBorder="1" applyAlignment="1">
      <alignment horizontal="center" vertical="center"/>
    </xf>
    <xf numFmtId="167" fontId="2" fillId="7" borderId="2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34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</row>
    <row r="12" spans="2:7">
      <c r="B12" s="9"/>
      <c r="C12" s="10"/>
      <c r="D12" s="10"/>
      <c r="E12" s="10"/>
    </row>
    <row r="13" spans="2:7">
      <c r="B13" s="11" t="s">
        <v>16</v>
      </c>
      <c r="C13" s="12">
        <f>SUM(E13)</f>
        <v>0</v>
      </c>
      <c r="D13" s="12">
        <f>C13/1</f>
        <v>0</v>
      </c>
      <c r="E13" s="12">
        <f>SUM(E12)</f>
        <v>0</v>
      </c>
    </row>
    <row r="14" spans="2:7">
      <c r="B14" s="13" t="s">
        <v>17</v>
      </c>
      <c r="C14" s="14">
        <f>SUM(E14)</f>
        <v>0</v>
      </c>
      <c r="D14" s="14">
        <f>C14/1</f>
        <v>0</v>
      </c>
      <c r="E14" s="14">
        <v>80640</v>
      </c>
    </row>
    <row r="15" spans="2:7">
      <c r="B15" s="13" t="s">
        <v>18</v>
      </c>
      <c r="C15" s="14">
        <f>SUM(E15)</f>
        <v>0</v>
      </c>
      <c r="D15" s="14">
        <f>C15/1</f>
        <v>0</v>
      </c>
      <c r="E15" s="14">
        <v>221000</v>
      </c>
    </row>
    <row r="16" spans="2:7">
      <c r="B16" s="13" t="s">
        <v>19</v>
      </c>
      <c r="C16" s="14">
        <f>SUM(E16)</f>
        <v>0</v>
      </c>
      <c r="D16" s="14">
        <f>C16/1</f>
        <v>0</v>
      </c>
      <c r="E16" s="14">
        <v>42960</v>
      </c>
    </row>
    <row r="17" spans="2:9">
      <c r="B17" s="13" t="s">
        <v>20</v>
      </c>
      <c r="C17" s="14">
        <f>SUM(E17)</f>
        <v>0</v>
      </c>
      <c r="D17" s="14">
        <f>C17/1</f>
        <v>0</v>
      </c>
      <c r="E17" s="14">
        <v>426108</v>
      </c>
    </row>
    <row r="18" spans="2:9">
      <c r="B18" s="13" t="s">
        <v>21</v>
      </c>
      <c r="C18" s="14">
        <f>SUM(E18)</f>
        <v>0</v>
      </c>
      <c r="D18" s="14">
        <f>C18/1</f>
        <v>0</v>
      </c>
      <c r="E18" s="14">
        <v>138000</v>
      </c>
    </row>
    <row r="19" spans="2:9">
      <c r="B19" s="13" t="s">
        <v>22</v>
      </c>
      <c r="C19" s="14">
        <f>SUM(E19)</f>
        <v>0</v>
      </c>
      <c r="D19" s="14">
        <f>C19/1</f>
        <v>0</v>
      </c>
      <c r="E19" s="14">
        <v>348159</v>
      </c>
    </row>
    <row r="20" spans="2:9">
      <c r="B20" s="13" t="s">
        <v>23</v>
      </c>
      <c r="C20" s="14">
        <f>SUM(E20)</f>
        <v>0</v>
      </c>
      <c r="D20" s="14">
        <f>C20/1</f>
        <v>0</v>
      </c>
      <c r="E20" s="14">
        <v>1335481</v>
      </c>
    </row>
    <row r="21" spans="2:9">
      <c r="B21" s="13" t="s">
        <v>24</v>
      </c>
      <c r="C21" s="14">
        <f>SUM(E21)</f>
        <v>0</v>
      </c>
      <c r="D21" s="14">
        <f>C21/1</f>
        <v>0</v>
      </c>
      <c r="E21" s="14">
        <v>20100</v>
      </c>
    </row>
    <row r="22" spans="2:9">
      <c r="B22" s="13" t="s">
        <v>25</v>
      </c>
      <c r="C22" s="14">
        <f>SUM(E22)</f>
        <v>0</v>
      </c>
      <c r="D22" s="14">
        <f>C22/1</f>
        <v>0</v>
      </c>
      <c r="E22" s="14">
        <v>6999</v>
      </c>
    </row>
    <row r="23" spans="2:9">
      <c r="B23" s="13" t="s">
        <v>26</v>
      </c>
      <c r="C23" s="14">
        <f>SUM(E23)</f>
        <v>0</v>
      </c>
      <c r="D23" s="14">
        <f>C23/1</f>
        <v>0</v>
      </c>
      <c r="E23" s="14">
        <v>274480</v>
      </c>
    </row>
    <row r="24" spans="2:9">
      <c r="B24" s="11" t="s">
        <v>27</v>
      </c>
      <c r="C24" s="12">
        <f>SUM(E24)</f>
        <v>0</v>
      </c>
      <c r="D24" s="12">
        <f>C24/1</f>
        <v>0</v>
      </c>
      <c r="E24" s="12">
        <f>SUM(E14:E23)</f>
        <v>0</v>
      </c>
    </row>
    <row r="25" spans="2:9">
      <c r="B25" s="15" t="s">
        <v>28</v>
      </c>
      <c r="C25" s="16">
        <f>SUM(E25)</f>
        <v>0</v>
      </c>
      <c r="D25" s="16">
        <f>C25/1</f>
        <v>0</v>
      </c>
      <c r="E25" s="16">
        <f>E13-E24</f>
        <v>0</v>
      </c>
    </row>
    <row r="28" spans="2:9">
      <c r="B28" s="1" t="s">
        <v>29</v>
      </c>
    </row>
    <row r="29" spans="2:9">
      <c r="B29" t="s">
        <v>30</v>
      </c>
    </row>
    <row r="30" spans="2:9">
      <c r="B30" s="17" t="s">
        <v>31</v>
      </c>
      <c r="C30" s="17"/>
      <c r="D30" s="17"/>
      <c r="E30" s="17"/>
      <c r="F30" s="18" t="s">
        <v>32</v>
      </c>
      <c r="G30" s="18"/>
      <c r="H30" s="18"/>
      <c r="I30" s="18"/>
    </row>
    <row r="31" spans="2:9">
      <c r="B31" s="19" t="s">
        <v>12</v>
      </c>
      <c r="C31" s="20" t="s">
        <v>33</v>
      </c>
      <c r="D31" s="20"/>
      <c r="E31" s="20" t="s">
        <v>34</v>
      </c>
      <c r="F31" s="20" t="s">
        <v>12</v>
      </c>
      <c r="G31" s="20" t="s">
        <v>33</v>
      </c>
      <c r="H31" s="20"/>
      <c r="I31" s="20" t="s">
        <v>34</v>
      </c>
    </row>
    <row r="32" spans="2:9">
      <c r="B32" s="21" t="s">
        <v>35</v>
      </c>
      <c r="C32" s="22" t="s">
        <v>36</v>
      </c>
      <c r="D32" s="22"/>
      <c r="E32" s="23">
        <v>534103</v>
      </c>
      <c r="F32" s="24" t="s">
        <v>98</v>
      </c>
      <c r="G32" s="22"/>
      <c r="H32" s="22"/>
      <c r="I32" s="25"/>
    </row>
    <row r="33" spans="2:9">
      <c r="B33" s="21"/>
      <c r="C33" s="22" t="s">
        <v>37</v>
      </c>
      <c r="D33" s="22"/>
      <c r="E33" s="23">
        <v>388</v>
      </c>
      <c r="F33" s="22"/>
      <c r="G33" s="22"/>
      <c r="H33" s="22"/>
      <c r="I33" s="26"/>
    </row>
    <row r="34" spans="2:9">
      <c r="B34" s="21"/>
      <c r="C34" s="22" t="s">
        <v>38</v>
      </c>
      <c r="D34" s="22"/>
      <c r="E34" s="23">
        <v>1</v>
      </c>
      <c r="F34" s="22"/>
      <c r="G34" s="22"/>
      <c r="H34" s="22"/>
      <c r="I34" s="26"/>
    </row>
    <row r="35" spans="2:9">
      <c r="B35" s="21"/>
      <c r="C35" s="22" t="s">
        <v>39</v>
      </c>
      <c r="D35" s="22"/>
      <c r="E35" s="23">
        <v>552505</v>
      </c>
      <c r="F35" s="22"/>
      <c r="G35" s="22"/>
      <c r="H35" s="22"/>
      <c r="I35" s="26"/>
    </row>
    <row r="36" spans="2:9">
      <c r="B36" s="21"/>
      <c r="C36" s="22" t="s">
        <v>40</v>
      </c>
      <c r="D36" s="22"/>
      <c r="E36" s="23">
        <v>354186</v>
      </c>
      <c r="F36" s="22"/>
      <c r="G36" s="22"/>
      <c r="H36" s="22"/>
      <c r="I36" s="26"/>
    </row>
    <row r="37" spans="2:9">
      <c r="B37" s="21"/>
      <c r="C37" s="22" t="s">
        <v>41</v>
      </c>
      <c r="D37" s="22"/>
      <c r="E37" s="23">
        <v>1875454</v>
      </c>
      <c r="F37" s="22"/>
      <c r="G37" s="22"/>
      <c r="H37" s="22"/>
      <c r="I37" s="26"/>
    </row>
    <row r="38" spans="2:9">
      <c r="B38" s="21"/>
      <c r="C38" s="22" t="s">
        <v>42</v>
      </c>
      <c r="D38" s="22"/>
      <c r="E38" s="23">
        <v>100100</v>
      </c>
      <c r="F38" s="22"/>
      <c r="G38" s="22"/>
      <c r="H38" s="22"/>
      <c r="I38" s="26"/>
    </row>
    <row r="39" spans="2:9">
      <c r="B39" s="21"/>
      <c r="C39" s="22" t="s">
        <v>43</v>
      </c>
      <c r="D39" s="22"/>
      <c r="E39" s="23">
        <v>383162</v>
      </c>
      <c r="F39" s="22"/>
      <c r="G39" s="22"/>
      <c r="H39" s="22"/>
      <c r="I39" s="26"/>
    </row>
    <row r="40" spans="2:9">
      <c r="B40" s="21"/>
      <c r="C40" s="22" t="s">
        <v>44</v>
      </c>
      <c r="D40" s="22"/>
      <c r="E40" s="23">
        <v>198190</v>
      </c>
      <c r="F40" s="22"/>
      <c r="G40" s="22"/>
      <c r="H40" s="22"/>
      <c r="I40" s="26"/>
    </row>
    <row r="41" spans="2:9">
      <c r="B41" s="21"/>
      <c r="C41" s="22" t="s">
        <v>45</v>
      </c>
      <c r="D41" s="22"/>
      <c r="E41" s="23">
        <v>259984</v>
      </c>
      <c r="F41" s="22"/>
      <c r="G41" s="22"/>
      <c r="H41" s="22"/>
      <c r="I41" s="26"/>
    </row>
    <row r="42" spans="2:9">
      <c r="B42" s="21"/>
      <c r="C42" s="22" t="s">
        <v>46</v>
      </c>
      <c r="D42" s="22"/>
      <c r="E42" s="23">
        <v>119494</v>
      </c>
      <c r="F42" s="22"/>
      <c r="G42" s="22"/>
      <c r="H42" s="22"/>
      <c r="I42" s="26"/>
    </row>
    <row r="43" spans="2:9">
      <c r="B43" s="21"/>
      <c r="C43" s="22" t="s">
        <v>47</v>
      </c>
      <c r="D43" s="22"/>
      <c r="E43" s="23">
        <v>2395029</v>
      </c>
      <c r="F43" s="22"/>
      <c r="G43" s="22"/>
      <c r="H43" s="22"/>
      <c r="I43" s="26"/>
    </row>
    <row r="44" spans="2:9">
      <c r="B44" s="21"/>
      <c r="C44" s="22" t="s">
        <v>48</v>
      </c>
      <c r="D44" s="22"/>
      <c r="E44" s="23">
        <v>0</v>
      </c>
      <c r="F44" s="22"/>
      <c r="G44" s="22"/>
      <c r="H44" s="22"/>
      <c r="I44" s="26"/>
    </row>
    <row r="45" spans="2:9">
      <c r="B45" s="21"/>
      <c r="C45" s="22" t="s">
        <v>49</v>
      </c>
      <c r="D45" s="22"/>
      <c r="E45" s="23">
        <v>63</v>
      </c>
      <c r="F45" s="22"/>
      <c r="G45" s="22"/>
      <c r="H45" s="22"/>
      <c r="I45" s="26"/>
    </row>
    <row r="46" spans="2:9">
      <c r="B46" s="21"/>
      <c r="C46" s="22" t="s">
        <v>50</v>
      </c>
      <c r="D46" s="22"/>
      <c r="E46" s="23">
        <v>818073</v>
      </c>
      <c r="F46" s="22"/>
      <c r="G46" s="22"/>
      <c r="H46" s="22"/>
      <c r="I46" s="26"/>
    </row>
    <row r="47" spans="2:9">
      <c r="B47" s="21"/>
      <c r="C47" s="22" t="s">
        <v>51</v>
      </c>
      <c r="D47" s="22"/>
      <c r="E47" s="23">
        <v>194435</v>
      </c>
      <c r="F47" s="22"/>
      <c r="G47" s="22"/>
      <c r="H47" s="22"/>
      <c r="I47" s="26"/>
    </row>
    <row r="48" spans="2:9">
      <c r="B48" s="21"/>
      <c r="C48" s="22" t="s">
        <v>52</v>
      </c>
      <c r="D48" s="22"/>
      <c r="E48" s="23">
        <v>0</v>
      </c>
      <c r="F48" s="22"/>
      <c r="G48" s="22"/>
      <c r="H48" s="22"/>
      <c r="I48" s="26"/>
    </row>
    <row r="49" spans="2:9">
      <c r="B49" s="21"/>
      <c r="C49" s="22" t="s">
        <v>53</v>
      </c>
      <c r="D49" s="22"/>
      <c r="E49" s="23">
        <v>0</v>
      </c>
      <c r="F49" s="22"/>
      <c r="G49" s="22"/>
      <c r="H49" s="22"/>
      <c r="I49" s="26"/>
    </row>
    <row r="50" spans="2:9">
      <c r="B50" s="21"/>
      <c r="C50" s="22" t="s">
        <v>54</v>
      </c>
      <c r="D50" s="22"/>
      <c r="E50" s="23">
        <v>0</v>
      </c>
      <c r="F50" s="22"/>
      <c r="G50" s="22"/>
      <c r="H50" s="22"/>
      <c r="I50" s="26"/>
    </row>
    <row r="51" spans="2:9">
      <c r="B51" s="21" t="s">
        <v>55</v>
      </c>
      <c r="C51" s="22"/>
      <c r="D51" s="22"/>
      <c r="E51" s="23"/>
      <c r="F51" s="22"/>
      <c r="G51" s="22"/>
      <c r="H51" s="22"/>
      <c r="I51" s="26"/>
    </row>
    <row r="52" spans="2:9">
      <c r="B52" s="21" t="s">
        <v>56</v>
      </c>
      <c r="C52" s="22" t="s">
        <v>57</v>
      </c>
      <c r="D52" s="22"/>
      <c r="E52" s="23">
        <v>0</v>
      </c>
      <c r="F52" s="22"/>
      <c r="G52" s="22"/>
      <c r="H52" s="22"/>
      <c r="I52" s="26"/>
    </row>
    <row r="53" spans="2:9">
      <c r="B53" s="21" t="s">
        <v>58</v>
      </c>
      <c r="C53" s="22" t="s">
        <v>59</v>
      </c>
      <c r="D53" s="22"/>
      <c r="E53" s="23">
        <v>8200000</v>
      </c>
      <c r="F53" s="22"/>
      <c r="G53" s="22"/>
      <c r="H53" s="22"/>
      <c r="I53" s="26"/>
    </row>
    <row r="54" spans="2:9">
      <c r="B54" s="21" t="s">
        <v>60</v>
      </c>
      <c r="C54" s="22" t="s">
        <v>61</v>
      </c>
      <c r="D54" s="22"/>
      <c r="E54" s="23">
        <v>0</v>
      </c>
      <c r="F54" s="22"/>
      <c r="G54" s="22"/>
      <c r="H54" s="22"/>
      <c r="I54" s="26"/>
    </row>
    <row r="55" spans="2:9">
      <c r="B55" s="21"/>
      <c r="C55" s="22" t="s">
        <v>62</v>
      </c>
      <c r="D55" s="22"/>
      <c r="E55" s="23">
        <v>0</v>
      </c>
      <c r="F55" s="22"/>
      <c r="G55" s="22"/>
      <c r="H55" s="22"/>
      <c r="I55" s="26"/>
    </row>
    <row r="56" spans="2:9">
      <c r="B56" s="21" t="s">
        <v>63</v>
      </c>
      <c r="C56" s="22" t="s">
        <v>64</v>
      </c>
      <c r="D56" s="22"/>
      <c r="E56" s="23">
        <v>848820</v>
      </c>
      <c r="F56" s="22"/>
      <c r="G56" s="22"/>
      <c r="H56" s="22"/>
      <c r="I56" s="26"/>
    </row>
    <row r="57" spans="2:9">
      <c r="B57" s="21"/>
      <c r="C57" s="22" t="s">
        <v>65</v>
      </c>
      <c r="D57" s="22"/>
      <c r="E57" s="23">
        <v>335250</v>
      </c>
      <c r="F57" s="22"/>
      <c r="G57" s="22"/>
      <c r="H57" s="22"/>
      <c r="I57" s="26"/>
    </row>
    <row r="58" spans="2:9">
      <c r="B58" s="21"/>
      <c r="C58" s="22" t="s">
        <v>66</v>
      </c>
      <c r="D58" s="22"/>
      <c r="E58" s="23">
        <v>306780</v>
      </c>
      <c r="F58" s="22"/>
      <c r="G58" s="22"/>
      <c r="H58" s="22"/>
      <c r="I58" s="26"/>
    </row>
    <row r="59" spans="2:9">
      <c r="B59" s="21"/>
      <c r="C59" s="22" t="s">
        <v>67</v>
      </c>
      <c r="D59" s="22"/>
      <c r="E59" s="23">
        <v>298400</v>
      </c>
      <c r="F59" s="22"/>
      <c r="G59" s="22"/>
      <c r="H59" s="22"/>
      <c r="I59" s="26"/>
    </row>
    <row r="60" spans="2:9">
      <c r="B60" s="21"/>
      <c r="C60" s="22" t="s">
        <v>68</v>
      </c>
      <c r="D60" s="22"/>
      <c r="E60" s="23">
        <v>267800</v>
      </c>
      <c r="F60" s="22"/>
      <c r="G60" s="22"/>
      <c r="H60" s="22"/>
      <c r="I60" s="26"/>
    </row>
    <row r="61" spans="2:9">
      <c r="B61" s="21"/>
      <c r="C61" s="22" t="s">
        <v>69</v>
      </c>
      <c r="D61" s="22"/>
      <c r="E61" s="23">
        <v>191400</v>
      </c>
      <c r="F61" s="22"/>
      <c r="G61" s="22"/>
      <c r="H61" s="22"/>
      <c r="I61" s="26"/>
    </row>
    <row r="62" spans="2:9">
      <c r="B62" s="21"/>
      <c r="C62" s="22" t="s">
        <v>70</v>
      </c>
      <c r="D62" s="22"/>
      <c r="E62" s="23">
        <v>177600</v>
      </c>
      <c r="F62" s="22"/>
      <c r="G62" s="22"/>
      <c r="H62" s="22"/>
      <c r="I62" s="26"/>
    </row>
    <row r="63" spans="2:9">
      <c r="B63" s="21"/>
      <c r="C63" s="22" t="s">
        <v>71</v>
      </c>
      <c r="D63" s="22"/>
      <c r="E63" s="23">
        <v>1390675</v>
      </c>
      <c r="F63" s="22"/>
      <c r="G63" s="22"/>
      <c r="H63" s="22"/>
      <c r="I63" s="26"/>
    </row>
    <row r="64" spans="2:9">
      <c r="B64" s="21"/>
      <c r="C64" s="22" t="s">
        <v>72</v>
      </c>
      <c r="D64" s="22"/>
      <c r="E64" s="23">
        <v>1276907</v>
      </c>
      <c r="F64" s="22"/>
      <c r="G64" s="22"/>
      <c r="H64" s="22"/>
      <c r="I64" s="26"/>
    </row>
    <row r="65" spans="2:9">
      <c r="B65" s="21"/>
      <c r="C65" s="22" t="s">
        <v>73</v>
      </c>
      <c r="D65" s="22"/>
      <c r="E65" s="23">
        <v>1219995</v>
      </c>
      <c r="F65" s="22"/>
      <c r="G65" s="22"/>
      <c r="H65" s="22"/>
      <c r="I65" s="26"/>
    </row>
    <row r="66" spans="2:9">
      <c r="B66" s="21"/>
      <c r="C66" s="22" t="s">
        <v>74</v>
      </c>
      <c r="D66" s="22"/>
      <c r="E66" s="23">
        <v>113330</v>
      </c>
      <c r="F66" s="22"/>
      <c r="G66" s="22"/>
      <c r="H66" s="22"/>
      <c r="I66" s="26"/>
    </row>
    <row r="67" spans="2:9">
      <c r="B67" s="21"/>
      <c r="C67" s="22" t="s">
        <v>75</v>
      </c>
      <c r="D67" s="22"/>
      <c r="E67" s="23">
        <v>52200</v>
      </c>
      <c r="F67" s="22"/>
      <c r="G67" s="22"/>
      <c r="H67" s="22"/>
      <c r="I67" s="26"/>
    </row>
    <row r="68" spans="2:9">
      <c r="B68" s="21"/>
      <c r="C68" s="22" t="s">
        <v>76</v>
      </c>
      <c r="D68" s="22"/>
      <c r="E68" s="23">
        <v>1407</v>
      </c>
      <c r="F68" s="22"/>
      <c r="G68" s="22"/>
      <c r="H68" s="22"/>
      <c r="I68" s="26"/>
    </row>
    <row r="69" spans="2:9">
      <c r="B69" s="21"/>
      <c r="C69" s="22" t="s">
        <v>77</v>
      </c>
      <c r="D69" s="22"/>
      <c r="E69" s="23">
        <v>994365</v>
      </c>
      <c r="F69" s="22"/>
      <c r="G69" s="22"/>
      <c r="H69" s="22"/>
      <c r="I69" s="26"/>
    </row>
    <row r="70" spans="2:9">
      <c r="B70" s="21"/>
      <c r="C70" s="22" t="s">
        <v>78</v>
      </c>
      <c r="D70" s="22"/>
      <c r="E70" s="23">
        <v>59751.0246</v>
      </c>
      <c r="F70" s="22"/>
      <c r="G70" s="22"/>
      <c r="H70" s="22"/>
      <c r="I70" s="26"/>
    </row>
    <row r="71" spans="2:9">
      <c r="B71" s="21"/>
      <c r="C71" s="22" t="s">
        <v>79</v>
      </c>
      <c r="D71" s="22"/>
      <c r="E71" s="23">
        <v>19429.566</v>
      </c>
      <c r="F71" s="22"/>
      <c r="G71" s="22"/>
      <c r="H71" s="22"/>
      <c r="I71" s="26"/>
    </row>
    <row r="72" spans="2:9">
      <c r="B72" s="21"/>
      <c r="C72" s="22" t="s">
        <v>80</v>
      </c>
      <c r="D72" s="22"/>
      <c r="E72" s="23">
        <v>389633.6382</v>
      </c>
      <c r="F72" s="22"/>
      <c r="G72" s="22"/>
      <c r="H72" s="22"/>
      <c r="I72" s="26"/>
    </row>
    <row r="73" spans="2:9">
      <c r="B73" s="21"/>
      <c r="C73" s="22" t="s">
        <v>80</v>
      </c>
      <c r="D73" s="22"/>
      <c r="E73" s="23">
        <v>118579</v>
      </c>
      <c r="F73" s="22"/>
      <c r="G73" s="22"/>
      <c r="H73" s="22"/>
      <c r="I73" s="26"/>
    </row>
    <row r="74" spans="2:9">
      <c r="B74" s="21"/>
      <c r="C74" s="22" t="s">
        <v>81</v>
      </c>
      <c r="D74" s="22"/>
      <c r="E74" s="23">
        <v>388</v>
      </c>
      <c r="F74" s="22"/>
      <c r="G74" s="22"/>
      <c r="H74" s="22"/>
      <c r="I74" s="26"/>
    </row>
    <row r="75" spans="2:9">
      <c r="B75" s="21"/>
      <c r="C75" s="22" t="s">
        <v>82</v>
      </c>
      <c r="D75" s="22"/>
      <c r="E75" s="23">
        <v>173387.06671</v>
      </c>
      <c r="F75" s="22"/>
      <c r="G75" s="22"/>
      <c r="H75" s="22"/>
      <c r="I75" s="26"/>
    </row>
    <row r="76" spans="2:9">
      <c r="B76" s="21"/>
      <c r="C76" s="22" t="s">
        <v>83</v>
      </c>
      <c r="D76" s="22"/>
      <c r="E76" s="23">
        <v>92589</v>
      </c>
      <c r="F76" s="22"/>
      <c r="G76" s="22"/>
      <c r="H76" s="22"/>
      <c r="I76" s="26"/>
    </row>
    <row r="77" spans="2:9">
      <c r="B77" s="21"/>
      <c r="C77" s="22" t="s">
        <v>83</v>
      </c>
      <c r="D77" s="22"/>
      <c r="E77" s="23">
        <v>19679</v>
      </c>
      <c r="F77" s="22"/>
      <c r="G77" s="22"/>
      <c r="H77" s="22"/>
      <c r="I77" s="26"/>
    </row>
    <row r="78" spans="2:9">
      <c r="B78" s="21"/>
      <c r="C78" s="22" t="s">
        <v>83</v>
      </c>
      <c r="D78" s="22"/>
      <c r="E78" s="23">
        <v>3</v>
      </c>
      <c r="F78" s="22"/>
      <c r="G78" s="22"/>
      <c r="H78" s="22"/>
      <c r="I78" s="26"/>
    </row>
    <row r="79" spans="2:9">
      <c r="B79" s="21"/>
      <c r="C79" s="22" t="s">
        <v>83</v>
      </c>
      <c r="D79" s="22"/>
      <c r="E79" s="23">
        <v>818073</v>
      </c>
      <c r="F79" s="22"/>
      <c r="G79" s="22"/>
      <c r="H79" s="22"/>
      <c r="I79" s="26"/>
    </row>
    <row r="80" spans="2:9">
      <c r="B80" s="21"/>
      <c r="C80" s="22" t="s">
        <v>84</v>
      </c>
      <c r="D80" s="22"/>
      <c r="E80" s="23">
        <v>1</v>
      </c>
      <c r="F80" s="22"/>
      <c r="G80" s="22"/>
      <c r="H80" s="22"/>
      <c r="I80" s="26"/>
    </row>
    <row r="81" spans="2:9">
      <c r="B81" s="21"/>
      <c r="C81" s="22" t="s">
        <v>85</v>
      </c>
      <c r="D81" s="22"/>
      <c r="E81" s="23">
        <v>70</v>
      </c>
      <c r="F81" s="22"/>
      <c r="G81" s="22"/>
      <c r="H81" s="22"/>
      <c r="I81" s="26"/>
    </row>
    <row r="82" spans="2:9">
      <c r="B82" s="21" t="s">
        <v>86</v>
      </c>
      <c r="C82" s="22"/>
      <c r="D82" s="22"/>
      <c r="E82" s="23"/>
      <c r="F82" s="22"/>
      <c r="G82" s="22"/>
      <c r="H82" s="22"/>
      <c r="I82" s="26"/>
    </row>
    <row r="83" spans="2:9">
      <c r="B83" s="21" t="s">
        <v>87</v>
      </c>
      <c r="C83" s="22"/>
      <c r="D83" s="22"/>
      <c r="E83" s="23"/>
      <c r="F83" s="22"/>
      <c r="G83" s="22"/>
      <c r="H83" s="22"/>
      <c r="I83" s="26"/>
    </row>
    <row r="84" spans="2:9">
      <c r="B84" s="21" t="s">
        <v>88</v>
      </c>
      <c r="C84" s="22"/>
      <c r="D84" s="22"/>
      <c r="E84" s="23"/>
      <c r="F84" s="22"/>
      <c r="G84" s="22"/>
      <c r="H84" s="22"/>
      <c r="I84" s="26"/>
    </row>
    <row r="85" spans="2:9">
      <c r="B85" s="21" t="s">
        <v>89</v>
      </c>
      <c r="C85" s="22" t="s">
        <v>90</v>
      </c>
      <c r="D85" s="22"/>
      <c r="E85" s="23">
        <v>0</v>
      </c>
      <c r="F85" s="22"/>
      <c r="G85" s="22"/>
      <c r="H85" s="22"/>
      <c r="I85" s="26"/>
    </row>
    <row r="86" spans="2:9">
      <c r="B86" s="21"/>
      <c r="C86" s="22" t="s">
        <v>91</v>
      </c>
      <c r="D86" s="22"/>
      <c r="E86" s="23">
        <v>0</v>
      </c>
      <c r="F86" s="22"/>
      <c r="G86" s="22"/>
      <c r="H86" s="22"/>
      <c r="I86" s="26"/>
    </row>
    <row r="87" spans="2:9">
      <c r="B87" s="21"/>
      <c r="C87" s="22" t="s">
        <v>92</v>
      </c>
      <c r="D87" s="22"/>
      <c r="E87" s="23">
        <v>0</v>
      </c>
      <c r="F87" s="22"/>
      <c r="G87" s="22"/>
      <c r="H87" s="22"/>
      <c r="I87" s="26"/>
    </row>
    <row r="88" spans="2:9">
      <c r="B88" s="21"/>
      <c r="C88" s="22" t="s">
        <v>93</v>
      </c>
      <c r="D88" s="22"/>
      <c r="E88" s="23">
        <v>0</v>
      </c>
      <c r="F88" s="22"/>
      <c r="G88" s="22"/>
      <c r="H88" s="22"/>
      <c r="I88" s="26"/>
    </row>
    <row r="89" spans="2:9">
      <c r="B89" s="21"/>
      <c r="C89" s="22" t="s">
        <v>94</v>
      </c>
      <c r="D89" s="22"/>
      <c r="E89" s="23">
        <v>0</v>
      </c>
      <c r="F89" s="22"/>
      <c r="G89" s="22"/>
      <c r="H89" s="22"/>
      <c r="I89" s="26"/>
    </row>
    <row r="90" spans="2:9">
      <c r="B90" s="21"/>
      <c r="C90" s="22" t="s">
        <v>94</v>
      </c>
      <c r="D90" s="22"/>
      <c r="E90" s="23">
        <v>0</v>
      </c>
      <c r="F90" s="22"/>
      <c r="G90" s="22"/>
      <c r="H90" s="22"/>
      <c r="I90" s="26"/>
    </row>
    <row r="91" spans="2:9">
      <c r="B91" s="21" t="s">
        <v>95</v>
      </c>
      <c r="C91" s="22" t="s">
        <v>96</v>
      </c>
      <c r="D91" s="22"/>
      <c r="E91" s="23">
        <v>5410456</v>
      </c>
      <c r="F91" s="22"/>
      <c r="G91" s="22"/>
      <c r="H91" s="22"/>
      <c r="I91" s="26"/>
    </row>
    <row r="92" spans="2:9">
      <c r="B92" s="21"/>
      <c r="C92" s="22" t="s">
        <v>97</v>
      </c>
      <c r="D92" s="22"/>
      <c r="E92" s="23">
        <v>3400000</v>
      </c>
      <c r="F92" s="22"/>
      <c r="G92" s="22"/>
      <c r="H92" s="22"/>
      <c r="I92" s="26"/>
    </row>
    <row r="93" spans="2:9">
      <c r="B93" s="27" t="s">
        <v>99</v>
      </c>
      <c r="C93" s="27"/>
      <c r="D93" s="27"/>
      <c r="E93" s="28">
        <f>SUM(E32:E92)</f>
        <v>0</v>
      </c>
      <c r="F93" s="29" t="s">
        <v>100</v>
      </c>
      <c r="G93" s="29"/>
      <c r="H93" s="29"/>
      <c r="I93" s="30">
        <f>SUM(I32:I92)</f>
        <v>0</v>
      </c>
    </row>
    <row r="94" spans="2:9">
      <c r="B94" s="31" t="s">
        <v>101</v>
      </c>
      <c r="C94" s="31"/>
      <c r="D94" s="31"/>
      <c r="E94" s="31"/>
      <c r="F94" s="31"/>
      <c r="G94" s="31"/>
      <c r="H94" s="31"/>
      <c r="I94" s="31"/>
    </row>
    <row r="95" spans="2:9">
      <c r="B95" s="32">
        <f>E93-I93</f>
        <v>0</v>
      </c>
      <c r="C95" s="32"/>
      <c r="D95" s="32"/>
      <c r="E95" s="32"/>
      <c r="F95" s="32"/>
      <c r="G95" s="32"/>
      <c r="H95" s="32"/>
      <c r="I95" s="32"/>
    </row>
    <row r="98" spans="2:10">
      <c r="B98" s="1" t="s">
        <v>102</v>
      </c>
    </row>
    <row r="99" spans="2:10">
      <c r="B99" t="s">
        <v>103</v>
      </c>
    </row>
    <row r="100" spans="2:10">
      <c r="B100" s="33" t="s">
        <v>104</v>
      </c>
      <c r="C100" s="34" t="s">
        <v>105</v>
      </c>
      <c r="D100" s="34"/>
      <c r="E100" s="34" t="s">
        <v>106</v>
      </c>
      <c r="F100" s="34" t="s">
        <v>107</v>
      </c>
      <c r="G100" s="34" t="s">
        <v>108</v>
      </c>
      <c r="H100" s="34" t="s">
        <v>109</v>
      </c>
    </row>
    <row r="101" spans="2:10">
      <c r="B101" s="35" t="s">
        <v>110</v>
      </c>
      <c r="C101" s="36" t="s">
        <v>90</v>
      </c>
      <c r="D101" s="36"/>
      <c r="E101" s="37" t="s">
        <v>111</v>
      </c>
      <c r="F101" s="38">
        <v>0</v>
      </c>
      <c r="G101" s="39">
        <v>43560</v>
      </c>
      <c r="H101" s="39">
        <v>49039</v>
      </c>
    </row>
    <row r="102" spans="2:10">
      <c r="B102" s="35" t="s">
        <v>110</v>
      </c>
      <c r="C102" s="36" t="s">
        <v>91</v>
      </c>
      <c r="D102" s="36"/>
      <c r="E102" s="37" t="s">
        <v>111</v>
      </c>
      <c r="F102" s="38">
        <v>0</v>
      </c>
      <c r="G102" s="39">
        <v>43585</v>
      </c>
      <c r="H102" s="39">
        <v>70979</v>
      </c>
    </row>
    <row r="103" spans="2:10">
      <c r="B103" s="35" t="s">
        <v>112</v>
      </c>
      <c r="C103" s="36" t="s">
        <v>92</v>
      </c>
      <c r="D103" s="36"/>
      <c r="E103" s="37" t="s">
        <v>111</v>
      </c>
      <c r="F103" s="38">
        <v>0</v>
      </c>
      <c r="G103" s="39">
        <v>45617</v>
      </c>
      <c r="H103" s="39">
        <v>71184</v>
      </c>
    </row>
    <row r="104" spans="2:10">
      <c r="B104" s="35" t="s">
        <v>110</v>
      </c>
      <c r="C104" s="36" t="s">
        <v>93</v>
      </c>
      <c r="D104" s="36"/>
      <c r="E104" s="37" t="s">
        <v>111</v>
      </c>
      <c r="F104" s="38">
        <v>0</v>
      </c>
      <c r="G104" s="39">
        <v>43511</v>
      </c>
      <c r="H104" s="39">
        <v>50816</v>
      </c>
    </row>
    <row r="105" spans="2:10">
      <c r="B105" s="35" t="s">
        <v>110</v>
      </c>
      <c r="C105" s="36" t="s">
        <v>94</v>
      </c>
      <c r="D105" s="36"/>
      <c r="E105" s="37" t="s">
        <v>111</v>
      </c>
      <c r="F105" s="38">
        <v>0</v>
      </c>
      <c r="G105" s="39">
        <v>43514</v>
      </c>
      <c r="H105" s="39">
        <v>48993</v>
      </c>
    </row>
    <row r="106" spans="2:10">
      <c r="B106" s="35" t="s">
        <v>110</v>
      </c>
      <c r="C106" s="36" t="s">
        <v>94</v>
      </c>
      <c r="D106" s="36"/>
      <c r="E106" s="37" t="s">
        <v>111</v>
      </c>
      <c r="F106" s="38">
        <v>0</v>
      </c>
      <c r="G106" s="39">
        <v>43517</v>
      </c>
      <c r="H106" s="39">
        <v>48996</v>
      </c>
    </row>
    <row r="107" spans="2:10">
      <c r="B107" s="40" t="s">
        <v>13</v>
      </c>
      <c r="C107" s="41" t="s">
        <v>113</v>
      </c>
      <c r="D107" s="41"/>
      <c r="E107" s="41" t="s">
        <v>114</v>
      </c>
      <c r="F107" s="41" t="s">
        <v>115</v>
      </c>
      <c r="G107" s="41"/>
      <c r="H107" s="42"/>
    </row>
    <row r="108" spans="2:10">
      <c r="B108" s="40"/>
      <c r="C108" s="43" t="s">
        <v>116</v>
      </c>
      <c r="D108" s="43"/>
      <c r="E108" s="43" t="s">
        <v>117</v>
      </c>
      <c r="F108" s="44">
        <f>SUM(F101:F106)</f>
        <v>0</v>
      </c>
      <c r="G108" s="43"/>
      <c r="H108" s="45"/>
    </row>
    <row r="110" spans="2:10">
      <c r="B110" s="1" t="s">
        <v>118</v>
      </c>
    </row>
    <row r="111" spans="2:10">
      <c r="B111" t="s">
        <v>119</v>
      </c>
    </row>
    <row r="112" spans="2:10">
      <c r="B112" s="33" t="s">
        <v>120</v>
      </c>
      <c r="C112" s="34" t="s">
        <v>104</v>
      </c>
      <c r="D112" s="34" t="s">
        <v>33</v>
      </c>
      <c r="E112" s="34"/>
      <c r="F112" s="34" t="s">
        <v>121</v>
      </c>
      <c r="G112" s="34" t="s">
        <v>122</v>
      </c>
      <c r="H112" s="34" t="s">
        <v>123</v>
      </c>
      <c r="I112" s="34" t="s">
        <v>124</v>
      </c>
      <c r="J112" s="34" t="s">
        <v>109</v>
      </c>
    </row>
    <row r="113" spans="2:10">
      <c r="B113" s="35" t="s">
        <v>125</v>
      </c>
      <c r="C113" s="36" t="s">
        <v>126</v>
      </c>
      <c r="D113" s="36" t="s">
        <v>64</v>
      </c>
      <c r="E113" s="36"/>
      <c r="F113" s="38">
        <v>1080639</v>
      </c>
      <c r="G113" s="38">
        <v>848820</v>
      </c>
      <c r="H113" s="46">
        <v>-21.45202977127422</v>
      </c>
      <c r="I113" s="39"/>
      <c r="J113" s="39"/>
    </row>
    <row r="114" spans="2:10">
      <c r="B114" s="35" t="s">
        <v>125</v>
      </c>
      <c r="C114" s="36" t="s">
        <v>126</v>
      </c>
      <c r="D114" s="36" t="s">
        <v>65</v>
      </c>
      <c r="E114" s="36"/>
      <c r="F114" s="38">
        <v>436249</v>
      </c>
      <c r="G114" s="38">
        <v>335250</v>
      </c>
      <c r="H114" s="46">
        <v>-23.15168630759039</v>
      </c>
      <c r="I114" s="39"/>
      <c r="J114" s="39"/>
    </row>
    <row r="115" spans="2:10">
      <c r="B115" s="35" t="s">
        <v>125</v>
      </c>
      <c r="C115" s="36" t="s">
        <v>126</v>
      </c>
      <c r="D115" s="36" t="s">
        <v>66</v>
      </c>
      <c r="E115" s="36"/>
      <c r="F115" s="38">
        <v>312495</v>
      </c>
      <c r="G115" s="38">
        <v>306780</v>
      </c>
      <c r="H115" s="46">
        <v>-1.82882926126818</v>
      </c>
      <c r="I115" s="39"/>
      <c r="J115" s="39"/>
    </row>
    <row r="116" spans="2:10">
      <c r="B116" s="35" t="s">
        <v>125</v>
      </c>
      <c r="C116" s="36" t="s">
        <v>126</v>
      </c>
      <c r="D116" s="36" t="s">
        <v>67</v>
      </c>
      <c r="E116" s="36"/>
      <c r="F116" s="38">
        <v>400000</v>
      </c>
      <c r="G116" s="38">
        <v>298400</v>
      </c>
      <c r="H116" s="46">
        <v>-25.4</v>
      </c>
      <c r="I116" s="39"/>
      <c r="J116" s="39"/>
    </row>
    <row r="117" spans="2:10">
      <c r="B117" s="35" t="s">
        <v>125</v>
      </c>
      <c r="C117" s="36" t="s">
        <v>126</v>
      </c>
      <c r="D117" s="36" t="s">
        <v>68</v>
      </c>
      <c r="E117" s="36"/>
      <c r="F117" s="38">
        <v>347000</v>
      </c>
      <c r="G117" s="38">
        <v>267800</v>
      </c>
      <c r="H117" s="46">
        <v>-22.82420749279539</v>
      </c>
      <c r="I117" s="39"/>
      <c r="J117" s="39"/>
    </row>
    <row r="118" spans="2:10">
      <c r="B118" s="35" t="s">
        <v>125</v>
      </c>
      <c r="C118" s="36" t="s">
        <v>126</v>
      </c>
      <c r="D118" s="36" t="s">
        <v>69</v>
      </c>
      <c r="E118" s="36"/>
      <c r="F118" s="38">
        <v>247299</v>
      </c>
      <c r="G118" s="38">
        <v>191400</v>
      </c>
      <c r="H118" s="46">
        <v>-22.60381158031371</v>
      </c>
      <c r="I118" s="39"/>
      <c r="J118" s="39"/>
    </row>
    <row r="119" spans="2:10">
      <c r="B119" s="35" t="s">
        <v>125</v>
      </c>
      <c r="C119" s="36" t="s">
        <v>126</v>
      </c>
      <c r="D119" s="36" t="s">
        <v>70</v>
      </c>
      <c r="E119" s="36"/>
      <c r="F119" s="38">
        <v>221000</v>
      </c>
      <c r="G119" s="38">
        <v>177600</v>
      </c>
      <c r="H119" s="46">
        <v>-19.63800904977376</v>
      </c>
      <c r="I119" s="39"/>
      <c r="J119" s="39"/>
    </row>
    <row r="120" spans="2:10">
      <c r="B120" s="35" t="s">
        <v>125</v>
      </c>
      <c r="C120" s="36" t="s">
        <v>127</v>
      </c>
      <c r="D120" s="36" t="s">
        <v>71</v>
      </c>
      <c r="E120" s="36"/>
      <c r="F120" s="38">
        <v>1244139</v>
      </c>
      <c r="G120" s="38">
        <v>1390675</v>
      </c>
      <c r="H120" s="46">
        <v>11.77810517956595</v>
      </c>
      <c r="I120" s="39"/>
      <c r="J120" s="39"/>
    </row>
    <row r="121" spans="2:10">
      <c r="B121" s="35" t="s">
        <v>125</v>
      </c>
      <c r="C121" s="36" t="s">
        <v>127</v>
      </c>
      <c r="D121" s="36" t="s">
        <v>72</v>
      </c>
      <c r="E121" s="36"/>
      <c r="F121" s="38">
        <v>1189611</v>
      </c>
      <c r="G121" s="38">
        <v>1276907</v>
      </c>
      <c r="H121" s="46">
        <v>7.338197108130305</v>
      </c>
      <c r="I121" s="39"/>
      <c r="J121" s="39"/>
    </row>
    <row r="122" spans="2:10">
      <c r="B122" s="35" t="s">
        <v>125</v>
      </c>
      <c r="C122" s="36" t="s">
        <v>127</v>
      </c>
      <c r="D122" s="36" t="s">
        <v>73</v>
      </c>
      <c r="E122" s="36"/>
      <c r="F122" s="38">
        <v>1355824</v>
      </c>
      <c r="G122" s="38">
        <v>1219995</v>
      </c>
      <c r="H122" s="46">
        <v>-10.01818820141847</v>
      </c>
      <c r="I122" s="39"/>
      <c r="J122" s="39"/>
    </row>
    <row r="123" spans="2:10">
      <c r="B123" s="35" t="s">
        <v>125</v>
      </c>
      <c r="C123" s="36" t="s">
        <v>127</v>
      </c>
      <c r="D123" s="36" t="s">
        <v>74</v>
      </c>
      <c r="E123" s="36"/>
      <c r="F123" s="38">
        <v>192590</v>
      </c>
      <c r="G123" s="38">
        <v>113330</v>
      </c>
      <c r="H123" s="46">
        <v>-41.1547847759489</v>
      </c>
      <c r="I123" s="39"/>
      <c r="J123" s="39"/>
    </row>
    <row r="124" spans="2:10">
      <c r="B124" s="35" t="s">
        <v>125</v>
      </c>
      <c r="C124" s="36" t="s">
        <v>128</v>
      </c>
      <c r="D124" s="36" t="s">
        <v>75</v>
      </c>
      <c r="E124" s="36"/>
      <c r="F124" s="38">
        <v>83000</v>
      </c>
      <c r="G124" s="38">
        <v>52200</v>
      </c>
      <c r="H124" s="46">
        <v>-37.10843373493976</v>
      </c>
      <c r="I124" s="39"/>
      <c r="J124" s="39"/>
    </row>
    <row r="125" spans="2:10">
      <c r="B125" s="35" t="s">
        <v>125</v>
      </c>
      <c r="C125" s="36" t="s">
        <v>129</v>
      </c>
      <c r="D125" s="36" t="s">
        <v>76</v>
      </c>
      <c r="E125" s="36"/>
      <c r="F125" s="38">
        <v>1366</v>
      </c>
      <c r="G125" s="38">
        <v>1407</v>
      </c>
      <c r="H125" s="46">
        <v>3.001464128843338</v>
      </c>
      <c r="I125" s="39"/>
      <c r="J125" s="39"/>
    </row>
    <row r="126" spans="2:10">
      <c r="B126" s="47" t="s">
        <v>13</v>
      </c>
      <c r="C126" s="41"/>
      <c r="D126" s="41" t="s">
        <v>130</v>
      </c>
      <c r="E126" s="41"/>
      <c r="F126" s="41" t="s">
        <v>131</v>
      </c>
      <c r="G126" s="41" t="s">
        <v>132</v>
      </c>
      <c r="H126" s="41" t="s">
        <v>133</v>
      </c>
      <c r="I126" s="41"/>
      <c r="J126" s="42"/>
    </row>
    <row r="127" spans="2:10">
      <c r="B127" s="47"/>
      <c r="C127" s="43"/>
      <c r="D127" s="43" t="s">
        <v>134</v>
      </c>
      <c r="E127" s="43"/>
      <c r="F127" s="44">
        <f>SUM(F113:F125)</f>
        <v>0</v>
      </c>
      <c r="G127" s="44">
        <f>SUM(G113:G125)</f>
        <v>0</v>
      </c>
      <c r="H127" s="48">
        <f>(SUM(G113:G125) - SUM(F113:F125)) * 100 / IF(SUM(F113:F125), SUM(F113:F125), 1)</f>
        <v>0</v>
      </c>
      <c r="I127" s="43"/>
      <c r="J127" s="45"/>
    </row>
    <row r="129" spans="2:10">
      <c r="B129" s="1" t="s">
        <v>135</v>
      </c>
    </row>
    <row r="130" spans="2:10">
      <c r="B130" t="s">
        <v>136</v>
      </c>
    </row>
    <row r="131" spans="2:10">
      <c r="B131" s="49" t="s">
        <v>137</v>
      </c>
      <c r="C131" s="50" t="s">
        <v>104</v>
      </c>
      <c r="D131" s="50" t="s">
        <v>33</v>
      </c>
      <c r="E131" s="50"/>
      <c r="F131" s="50" t="s">
        <v>138</v>
      </c>
      <c r="G131" s="50" t="s">
        <v>139</v>
      </c>
      <c r="H131" s="50" t="s">
        <v>140</v>
      </c>
      <c r="I131" s="50" t="s">
        <v>141</v>
      </c>
      <c r="J131" s="50" t="s">
        <v>142</v>
      </c>
    </row>
    <row r="132" spans="2:10">
      <c r="B132" s="35"/>
      <c r="C132" s="36"/>
      <c r="D132" s="36"/>
      <c r="E132" s="36"/>
      <c r="F132" s="36"/>
      <c r="G132" s="36"/>
      <c r="H132" s="36"/>
      <c r="I132" s="36"/>
      <c r="J132" s="36"/>
    </row>
    <row r="133" spans="2:10">
      <c r="B133" s="47" t="s">
        <v>13</v>
      </c>
      <c r="C133" s="41"/>
      <c r="D133" s="41" t="s">
        <v>143</v>
      </c>
      <c r="E133" s="41"/>
      <c r="F133" s="41" t="s">
        <v>144</v>
      </c>
      <c r="G133" s="41" t="s">
        <v>145</v>
      </c>
      <c r="H133" s="41"/>
      <c r="I133" s="41"/>
      <c r="J133" s="42"/>
    </row>
    <row r="134" spans="2:10">
      <c r="B134" s="47"/>
      <c r="C134" s="43"/>
      <c r="D134" s="44">
        <f>SUM(0)</f>
        <v>0</v>
      </c>
      <c r="E134" s="44"/>
      <c r="F134" s="44">
        <f>SUM(F132)</f>
        <v>0</v>
      </c>
      <c r="G134" s="44">
        <f>SUM(G132)</f>
        <v>0</v>
      </c>
      <c r="H134" s="43"/>
      <c r="I134" s="43"/>
      <c r="J134" s="45"/>
    </row>
  </sheetData>
  <mergeCells count="169">
    <mergeCell ref="F5:G5"/>
    <mergeCell ref="F6:G6"/>
    <mergeCell ref="B30:E30"/>
    <mergeCell ref="F30:I30"/>
    <mergeCell ref="C31:D31"/>
    <mergeCell ref="G31:H31"/>
    <mergeCell ref="B32:B50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B54:B55"/>
    <mergeCell ref="C54:D54"/>
    <mergeCell ref="C55:D55"/>
    <mergeCell ref="B56:B81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B85:B90"/>
    <mergeCell ref="C85:D85"/>
    <mergeCell ref="C86:D86"/>
    <mergeCell ref="C87:D87"/>
    <mergeCell ref="C88:D88"/>
    <mergeCell ref="C89:D89"/>
    <mergeCell ref="C90:D90"/>
    <mergeCell ref="B91:B92"/>
    <mergeCell ref="C91:D91"/>
    <mergeCell ref="C92:D92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B93:D93"/>
    <mergeCell ref="F93:H93"/>
    <mergeCell ref="B94:I94"/>
    <mergeCell ref="B95:I95"/>
    <mergeCell ref="C100:D100"/>
    <mergeCell ref="C101:D101"/>
    <mergeCell ref="C102:D102"/>
    <mergeCell ref="C103:D103"/>
    <mergeCell ref="C104:D104"/>
    <mergeCell ref="C105:D105"/>
    <mergeCell ref="C106:D106"/>
    <mergeCell ref="B107:B108"/>
    <mergeCell ref="C107:D107"/>
    <mergeCell ref="C108:D108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B126:B127"/>
    <mergeCell ref="D126:E126"/>
    <mergeCell ref="D127:E127"/>
    <mergeCell ref="D131:E131"/>
    <mergeCell ref="D132:E132"/>
    <mergeCell ref="B133:B134"/>
    <mergeCell ref="D133:E133"/>
    <mergeCell ref="D134:E1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51" t="s">
        <v>146</v>
      </c>
      <c r="B1" s="51" t="s">
        <v>147</v>
      </c>
      <c r="C1" s="51" t="s">
        <v>148</v>
      </c>
      <c r="D1" s="51" t="s">
        <v>149</v>
      </c>
      <c r="E1" s="51" t="s">
        <v>150</v>
      </c>
      <c r="F1" s="51" t="s">
        <v>151</v>
      </c>
      <c r="G1" s="51" t="s">
        <v>34</v>
      </c>
      <c r="H1" s="51" t="s">
        <v>152</v>
      </c>
      <c r="I1" s="51" t="s">
        <v>153</v>
      </c>
      <c r="J1" s="51" t="s">
        <v>154</v>
      </c>
    </row>
    <row r="2" spans="1:10">
      <c r="A2" s="52">
        <v>46317</v>
      </c>
      <c r="B2" s="53">
        <v>0.9957523148148149</v>
      </c>
      <c r="C2" t="s">
        <v>155</v>
      </c>
      <c r="D2" t="s">
        <v>20</v>
      </c>
      <c r="E2" t="s">
        <v>26</v>
      </c>
      <c r="F2" t="s">
        <v>156</v>
      </c>
      <c r="G2">
        <v>-154800</v>
      </c>
      <c r="H2" t="s">
        <v>157</v>
      </c>
      <c r="I2" t="s">
        <v>158</v>
      </c>
    </row>
    <row r="3" spans="1:10">
      <c r="A3" s="52">
        <v>46317</v>
      </c>
      <c r="B3" s="53">
        <v>0.5007291666666667</v>
      </c>
      <c r="C3" t="s">
        <v>155</v>
      </c>
      <c r="D3" t="s">
        <v>22</v>
      </c>
      <c r="E3" t="s">
        <v>159</v>
      </c>
      <c r="F3" t="s">
        <v>160</v>
      </c>
      <c r="G3">
        <v>-8910</v>
      </c>
      <c r="H3" t="s">
        <v>157</v>
      </c>
      <c r="I3" t="s">
        <v>161</v>
      </c>
    </row>
    <row r="4" spans="1:10">
      <c r="A4" s="52">
        <v>46317</v>
      </c>
      <c r="B4" s="53">
        <v>0.4558101851851852</v>
      </c>
      <c r="C4" t="s">
        <v>155</v>
      </c>
      <c r="D4" t="s">
        <v>20</v>
      </c>
      <c r="E4" t="s">
        <v>26</v>
      </c>
      <c r="F4" t="s">
        <v>162</v>
      </c>
      <c r="G4">
        <v>-18800</v>
      </c>
      <c r="H4" t="s">
        <v>157</v>
      </c>
      <c r="I4" t="s">
        <v>161</v>
      </c>
    </row>
    <row r="5" spans="1:10">
      <c r="A5" s="52">
        <v>46317</v>
      </c>
      <c r="B5" s="53">
        <v>0.4488888888888889</v>
      </c>
      <c r="C5" t="s">
        <v>155</v>
      </c>
      <c r="D5" t="s">
        <v>23</v>
      </c>
      <c r="E5" t="s">
        <v>163</v>
      </c>
      <c r="F5" t="s">
        <v>164</v>
      </c>
      <c r="G5">
        <v>-1000000</v>
      </c>
      <c r="H5" t="s">
        <v>157</v>
      </c>
      <c r="I5" t="s">
        <v>165</v>
      </c>
    </row>
    <row r="6" spans="1:10">
      <c r="A6" s="52">
        <v>46317</v>
      </c>
      <c r="B6" s="53">
        <v>0.001203703703703704</v>
      </c>
      <c r="C6" t="s">
        <v>155</v>
      </c>
      <c r="D6" t="s">
        <v>18</v>
      </c>
      <c r="E6" t="s">
        <v>166</v>
      </c>
      <c r="F6" t="s">
        <v>167</v>
      </c>
      <c r="G6">
        <v>-43500</v>
      </c>
      <c r="H6" t="s">
        <v>157</v>
      </c>
      <c r="I6" t="s">
        <v>168</v>
      </c>
    </row>
    <row r="7" spans="1:10">
      <c r="A7" s="52">
        <v>46316</v>
      </c>
      <c r="B7" s="53">
        <v>0.9185069444444445</v>
      </c>
      <c r="C7" t="s">
        <v>155</v>
      </c>
      <c r="D7" t="s">
        <v>22</v>
      </c>
      <c r="E7" t="s">
        <v>159</v>
      </c>
      <c r="F7" t="s">
        <v>169</v>
      </c>
      <c r="G7">
        <v>-54300</v>
      </c>
      <c r="H7" t="s">
        <v>157</v>
      </c>
      <c r="I7" t="s">
        <v>170</v>
      </c>
    </row>
    <row r="8" spans="1:10">
      <c r="A8" s="52">
        <v>46316</v>
      </c>
      <c r="B8" s="53">
        <v>0.8255324074074074</v>
      </c>
      <c r="C8" t="s">
        <v>155</v>
      </c>
      <c r="D8" t="s">
        <v>22</v>
      </c>
      <c r="E8" t="s">
        <v>159</v>
      </c>
      <c r="F8" t="s">
        <v>171</v>
      </c>
      <c r="G8">
        <v>-13790</v>
      </c>
      <c r="H8" t="s">
        <v>157</v>
      </c>
      <c r="I8" t="s">
        <v>172</v>
      </c>
    </row>
    <row r="9" spans="1:10">
      <c r="A9" s="52">
        <v>46316</v>
      </c>
      <c r="B9" s="53">
        <v>0.7282986111111112</v>
      </c>
      <c r="C9" t="s">
        <v>155</v>
      </c>
      <c r="D9" t="s">
        <v>22</v>
      </c>
      <c r="E9" t="s">
        <v>159</v>
      </c>
      <c r="F9" t="s">
        <v>160</v>
      </c>
      <c r="G9">
        <v>-6999</v>
      </c>
      <c r="H9" t="s">
        <v>157</v>
      </c>
      <c r="I9" t="s">
        <v>161</v>
      </c>
    </row>
    <row r="10" spans="1:10">
      <c r="A10" s="52">
        <v>46316</v>
      </c>
      <c r="B10" s="53">
        <v>0.7271180555555555</v>
      </c>
      <c r="C10" t="s">
        <v>155</v>
      </c>
      <c r="D10" t="s">
        <v>22</v>
      </c>
      <c r="E10" t="s">
        <v>159</v>
      </c>
      <c r="F10" t="s">
        <v>160</v>
      </c>
      <c r="G10">
        <v>7150</v>
      </c>
      <c r="H10" t="s">
        <v>157</v>
      </c>
      <c r="I10" t="s">
        <v>161</v>
      </c>
    </row>
    <row r="11" spans="1:10">
      <c r="A11" s="52">
        <v>46316</v>
      </c>
      <c r="B11" s="53">
        <v>0.7261921296296296</v>
      </c>
      <c r="C11" t="s">
        <v>155</v>
      </c>
      <c r="D11" t="s">
        <v>22</v>
      </c>
      <c r="E11" t="s">
        <v>159</v>
      </c>
      <c r="F11" t="s">
        <v>160</v>
      </c>
      <c r="G11">
        <v>-7150</v>
      </c>
      <c r="H11" t="s">
        <v>157</v>
      </c>
      <c r="I11" t="s">
        <v>161</v>
      </c>
    </row>
    <row r="12" spans="1:10">
      <c r="A12" s="52">
        <v>46316</v>
      </c>
      <c r="B12" s="53">
        <v>0.6709027777777777</v>
      </c>
      <c r="C12" t="s">
        <v>155</v>
      </c>
      <c r="D12" t="s">
        <v>17</v>
      </c>
      <c r="E12" t="s">
        <v>173</v>
      </c>
      <c r="F12" t="s">
        <v>174</v>
      </c>
      <c r="G12">
        <v>-5990</v>
      </c>
      <c r="H12" t="s">
        <v>157</v>
      </c>
      <c r="I12" t="s">
        <v>161</v>
      </c>
    </row>
    <row r="13" spans="1:10">
      <c r="A13" s="52">
        <v>46316</v>
      </c>
      <c r="B13" s="53">
        <v>0.5027199074074075</v>
      </c>
      <c r="C13" t="s">
        <v>155</v>
      </c>
      <c r="D13" t="s">
        <v>22</v>
      </c>
      <c r="E13" t="s">
        <v>159</v>
      </c>
      <c r="F13" t="s">
        <v>169</v>
      </c>
      <c r="G13">
        <v>-34900</v>
      </c>
      <c r="H13" t="s">
        <v>157</v>
      </c>
      <c r="I13" t="s">
        <v>170</v>
      </c>
    </row>
    <row r="14" spans="1:10">
      <c r="A14" s="52">
        <v>46316</v>
      </c>
      <c r="B14" s="53">
        <v>0.4794212962962963</v>
      </c>
      <c r="C14" t="s">
        <v>155</v>
      </c>
      <c r="D14" t="s">
        <v>20</v>
      </c>
      <c r="E14" t="s">
        <v>26</v>
      </c>
      <c r="F14" t="s">
        <v>175</v>
      </c>
      <c r="G14">
        <v>-5500</v>
      </c>
      <c r="H14" t="s">
        <v>157</v>
      </c>
      <c r="I14" t="s">
        <v>161</v>
      </c>
    </row>
    <row r="15" spans="1:10">
      <c r="A15" s="52">
        <v>46315</v>
      </c>
      <c r="B15" s="53">
        <v>0.6130787037037037</v>
      </c>
      <c r="C15" t="s">
        <v>155</v>
      </c>
      <c r="D15" t="s">
        <v>26</v>
      </c>
      <c r="E15" t="s">
        <v>26</v>
      </c>
      <c r="F15" t="s">
        <v>176</v>
      </c>
      <c r="G15">
        <v>-9780</v>
      </c>
      <c r="H15" t="s">
        <v>157</v>
      </c>
      <c r="I15" t="s">
        <v>161</v>
      </c>
    </row>
    <row r="16" spans="1:10">
      <c r="A16" s="52">
        <v>46315</v>
      </c>
      <c r="B16" s="53">
        <v>0.3464467592592593</v>
      </c>
      <c r="C16" t="s">
        <v>155</v>
      </c>
      <c r="D16" t="s">
        <v>17</v>
      </c>
      <c r="E16" t="s">
        <v>173</v>
      </c>
      <c r="F16" t="s">
        <v>174</v>
      </c>
      <c r="G16">
        <v>-5990</v>
      </c>
      <c r="H16" t="s">
        <v>157</v>
      </c>
      <c r="I16" t="s">
        <v>161</v>
      </c>
    </row>
    <row r="17" spans="1:9">
      <c r="A17" s="52">
        <v>46315</v>
      </c>
      <c r="B17" s="53">
        <v>0.3454976851851852</v>
      </c>
      <c r="C17" t="s">
        <v>155</v>
      </c>
      <c r="D17" t="s">
        <v>19</v>
      </c>
      <c r="E17" t="s">
        <v>26</v>
      </c>
      <c r="F17" t="s">
        <v>177</v>
      </c>
      <c r="G17">
        <v>-15900</v>
      </c>
      <c r="H17" t="s">
        <v>157</v>
      </c>
      <c r="I17" t="s">
        <v>161</v>
      </c>
    </row>
    <row r="18" spans="1:9">
      <c r="A18" s="52">
        <v>46314</v>
      </c>
      <c r="B18" s="53">
        <v>0.8430439814814815</v>
      </c>
      <c r="C18" t="s">
        <v>155</v>
      </c>
      <c r="D18" t="s">
        <v>20</v>
      </c>
      <c r="E18" t="s">
        <v>26</v>
      </c>
      <c r="F18" t="s">
        <v>178</v>
      </c>
      <c r="G18">
        <v>-9999</v>
      </c>
      <c r="H18" t="s">
        <v>157</v>
      </c>
      <c r="I18" t="s">
        <v>161</v>
      </c>
    </row>
    <row r="19" spans="1:9">
      <c r="A19" s="52">
        <v>46314</v>
      </c>
      <c r="B19" s="53">
        <v>0.5284722222222222</v>
      </c>
      <c r="C19" t="s">
        <v>155</v>
      </c>
      <c r="D19" t="s">
        <v>23</v>
      </c>
      <c r="E19" t="s">
        <v>179</v>
      </c>
      <c r="F19" t="s">
        <v>180</v>
      </c>
      <c r="G19">
        <v>-15430</v>
      </c>
      <c r="H19" t="s">
        <v>157</v>
      </c>
      <c r="I19" t="s">
        <v>181</v>
      </c>
    </row>
    <row r="20" spans="1:9">
      <c r="A20" s="52">
        <v>46314</v>
      </c>
      <c r="B20" s="53">
        <v>0.4921527777777778</v>
      </c>
      <c r="C20" t="s">
        <v>155</v>
      </c>
      <c r="D20" t="s">
        <v>24</v>
      </c>
      <c r="E20" t="s">
        <v>26</v>
      </c>
      <c r="F20" t="s">
        <v>182</v>
      </c>
      <c r="G20">
        <v>-5700</v>
      </c>
      <c r="H20" t="s">
        <v>157</v>
      </c>
      <c r="I20" t="s">
        <v>161</v>
      </c>
    </row>
    <row r="21" spans="1:9">
      <c r="A21" s="52">
        <v>46314</v>
      </c>
      <c r="B21" s="53">
        <v>0.4863310185185185</v>
      </c>
      <c r="C21" t="s">
        <v>155</v>
      </c>
      <c r="D21" t="s">
        <v>22</v>
      </c>
      <c r="E21" t="s">
        <v>159</v>
      </c>
      <c r="F21" t="s">
        <v>160</v>
      </c>
      <c r="G21">
        <v>-14900</v>
      </c>
      <c r="H21" t="s">
        <v>157</v>
      </c>
      <c r="I21" t="s">
        <v>161</v>
      </c>
    </row>
    <row r="22" spans="1:9">
      <c r="A22" s="52">
        <v>46314</v>
      </c>
      <c r="B22" s="53">
        <v>0.4703819444444444</v>
      </c>
      <c r="C22" t="s">
        <v>155</v>
      </c>
      <c r="D22" t="s">
        <v>22</v>
      </c>
      <c r="E22" t="s">
        <v>159</v>
      </c>
      <c r="F22" t="s">
        <v>169</v>
      </c>
      <c r="G22">
        <v>-16890</v>
      </c>
      <c r="H22" t="s">
        <v>157</v>
      </c>
      <c r="I22" t="s">
        <v>161</v>
      </c>
    </row>
    <row r="23" spans="1:9">
      <c r="A23" s="52">
        <v>46314</v>
      </c>
      <c r="B23" s="53">
        <v>0.439837962962963</v>
      </c>
      <c r="C23" t="s">
        <v>155</v>
      </c>
      <c r="D23" t="s">
        <v>17</v>
      </c>
      <c r="E23" t="s">
        <v>173</v>
      </c>
      <c r="F23" t="s">
        <v>183</v>
      </c>
      <c r="G23">
        <v>-17600</v>
      </c>
      <c r="H23" t="s">
        <v>157</v>
      </c>
      <c r="I23" t="s">
        <v>181</v>
      </c>
    </row>
    <row r="24" spans="1:9">
      <c r="A24" s="52">
        <v>46314</v>
      </c>
      <c r="B24" s="53">
        <v>0.3968171296296296</v>
      </c>
      <c r="C24" t="s">
        <v>155</v>
      </c>
      <c r="D24" t="s">
        <v>17</v>
      </c>
      <c r="E24" t="s">
        <v>173</v>
      </c>
      <c r="F24" t="s">
        <v>183</v>
      </c>
      <c r="G24">
        <v>-15120</v>
      </c>
      <c r="H24" t="s">
        <v>157</v>
      </c>
      <c r="I24" t="s">
        <v>181</v>
      </c>
    </row>
    <row r="25" spans="1:9">
      <c r="A25" s="52">
        <v>46314</v>
      </c>
      <c r="B25" s="53">
        <v>0.3547106481481481</v>
      </c>
      <c r="C25" t="s">
        <v>155</v>
      </c>
      <c r="D25" t="s">
        <v>22</v>
      </c>
      <c r="E25" t="s">
        <v>159</v>
      </c>
      <c r="F25" t="s">
        <v>169</v>
      </c>
      <c r="G25">
        <v>-21170</v>
      </c>
      <c r="H25" t="s">
        <v>157</v>
      </c>
      <c r="I25" t="s">
        <v>170</v>
      </c>
    </row>
    <row r="26" spans="1:9">
      <c r="A26" s="52">
        <v>46314</v>
      </c>
      <c r="B26" s="53">
        <v>0.008449074074074074</v>
      </c>
      <c r="C26" t="s">
        <v>155</v>
      </c>
      <c r="D26" t="s">
        <v>17</v>
      </c>
      <c r="E26" t="s">
        <v>173</v>
      </c>
      <c r="F26" t="s">
        <v>174</v>
      </c>
      <c r="G26">
        <v>-5990</v>
      </c>
      <c r="H26" t="s">
        <v>157</v>
      </c>
      <c r="I26" t="s">
        <v>161</v>
      </c>
    </row>
    <row r="27" spans="1:9">
      <c r="A27" s="52">
        <v>46313</v>
      </c>
      <c r="B27" s="53">
        <v>0.9166666666666666</v>
      </c>
      <c r="C27" t="s">
        <v>155</v>
      </c>
      <c r="D27" t="s">
        <v>17</v>
      </c>
      <c r="E27" t="s">
        <v>173</v>
      </c>
      <c r="F27" t="s">
        <v>174</v>
      </c>
      <c r="G27">
        <v>-5990</v>
      </c>
      <c r="H27" t="s">
        <v>157</v>
      </c>
      <c r="I27" t="s">
        <v>161</v>
      </c>
    </row>
    <row r="28" spans="1:9">
      <c r="A28" s="52">
        <v>46313</v>
      </c>
      <c r="B28" s="53">
        <v>0.8771064814814815</v>
      </c>
      <c r="C28" t="s">
        <v>155</v>
      </c>
      <c r="D28" t="s">
        <v>23</v>
      </c>
      <c r="E28" t="s">
        <v>184</v>
      </c>
      <c r="F28" t="s">
        <v>185</v>
      </c>
      <c r="G28">
        <v>-137021</v>
      </c>
      <c r="H28" t="s">
        <v>157</v>
      </c>
      <c r="I28" t="s">
        <v>168</v>
      </c>
    </row>
    <row r="29" spans="1:9">
      <c r="A29" s="52">
        <v>46313</v>
      </c>
      <c r="B29" s="53">
        <v>0.4403935185185185</v>
      </c>
      <c r="C29" t="s">
        <v>155</v>
      </c>
      <c r="D29" t="s">
        <v>20</v>
      </c>
      <c r="E29" t="s">
        <v>26</v>
      </c>
      <c r="F29" t="s">
        <v>162</v>
      </c>
      <c r="G29">
        <v>-8686</v>
      </c>
      <c r="H29" t="s">
        <v>157</v>
      </c>
      <c r="I29" t="s">
        <v>161</v>
      </c>
    </row>
    <row r="30" spans="1:9">
      <c r="A30" s="52">
        <v>46313</v>
      </c>
      <c r="B30" s="53">
        <v>0.4157291666666666</v>
      </c>
      <c r="C30" t="s">
        <v>155</v>
      </c>
      <c r="D30" t="s">
        <v>20</v>
      </c>
      <c r="E30" t="s">
        <v>26</v>
      </c>
      <c r="F30" t="s">
        <v>186</v>
      </c>
      <c r="G30">
        <v>-1990</v>
      </c>
      <c r="H30" t="s">
        <v>157</v>
      </c>
      <c r="I30" t="s">
        <v>168</v>
      </c>
    </row>
    <row r="31" spans="1:9">
      <c r="A31" s="52">
        <v>46312</v>
      </c>
      <c r="B31" s="53">
        <v>0.8733449074074074</v>
      </c>
      <c r="C31" t="s">
        <v>155</v>
      </c>
      <c r="D31" t="s">
        <v>24</v>
      </c>
      <c r="E31" t="s">
        <v>26</v>
      </c>
      <c r="F31" t="s">
        <v>187</v>
      </c>
      <c r="G31">
        <v>-1600</v>
      </c>
      <c r="H31" t="s">
        <v>157</v>
      </c>
      <c r="I31" t="s">
        <v>161</v>
      </c>
    </row>
    <row r="32" spans="1:9">
      <c r="A32" s="52">
        <v>46312</v>
      </c>
      <c r="B32" s="53">
        <v>0.8592708333333333</v>
      </c>
      <c r="C32" t="s">
        <v>155</v>
      </c>
      <c r="D32" t="s">
        <v>20</v>
      </c>
      <c r="E32" t="s">
        <v>26</v>
      </c>
      <c r="F32" t="s">
        <v>188</v>
      </c>
      <c r="G32">
        <v>-29000</v>
      </c>
      <c r="H32" t="s">
        <v>157</v>
      </c>
      <c r="I32" t="s">
        <v>161</v>
      </c>
    </row>
    <row r="33" spans="1:9">
      <c r="A33" s="52">
        <v>46312</v>
      </c>
      <c r="B33" s="53">
        <v>0.5425925925925926</v>
      </c>
      <c r="C33" t="s">
        <v>155</v>
      </c>
      <c r="D33" t="s">
        <v>20</v>
      </c>
      <c r="E33" t="s">
        <v>26</v>
      </c>
      <c r="F33" t="s">
        <v>162</v>
      </c>
      <c r="G33">
        <v>-31500</v>
      </c>
      <c r="H33" t="s">
        <v>157</v>
      </c>
      <c r="I33" t="s">
        <v>181</v>
      </c>
    </row>
    <row r="34" spans="1:9">
      <c r="A34" s="52">
        <v>46312</v>
      </c>
      <c r="B34" s="53">
        <v>0.5378587962962963</v>
      </c>
      <c r="C34" t="s">
        <v>155</v>
      </c>
      <c r="D34" t="s">
        <v>20</v>
      </c>
      <c r="E34" t="s">
        <v>26</v>
      </c>
      <c r="F34" t="s">
        <v>162</v>
      </c>
      <c r="G34">
        <v>-73000</v>
      </c>
      <c r="H34" t="s">
        <v>157</v>
      </c>
      <c r="I34" t="s">
        <v>181</v>
      </c>
    </row>
    <row r="35" spans="1:9">
      <c r="A35" s="52">
        <v>46312</v>
      </c>
      <c r="B35" s="53">
        <v>0</v>
      </c>
      <c r="C35" t="s">
        <v>155</v>
      </c>
      <c r="D35" t="s">
        <v>22</v>
      </c>
      <c r="E35" t="s">
        <v>159</v>
      </c>
      <c r="F35" t="s">
        <v>189</v>
      </c>
      <c r="G35">
        <v>16800</v>
      </c>
      <c r="H35" t="s">
        <v>157</v>
      </c>
      <c r="I35" t="s">
        <v>168</v>
      </c>
    </row>
    <row r="36" spans="1:9">
      <c r="A36" s="52">
        <v>46311</v>
      </c>
      <c r="B36" s="53">
        <v>0.5252199074074074</v>
      </c>
      <c r="C36" t="s">
        <v>155</v>
      </c>
      <c r="D36" t="s">
        <v>20</v>
      </c>
      <c r="E36" t="s">
        <v>26</v>
      </c>
      <c r="F36" t="s">
        <v>190</v>
      </c>
      <c r="G36">
        <v>-13833</v>
      </c>
      <c r="H36" t="s">
        <v>157</v>
      </c>
      <c r="I36" t="s">
        <v>161</v>
      </c>
    </row>
    <row r="37" spans="1:9">
      <c r="A37" s="52">
        <v>46311</v>
      </c>
      <c r="B37" s="53">
        <v>0.4824074074074074</v>
      </c>
      <c r="C37" t="s">
        <v>155</v>
      </c>
      <c r="D37" t="s">
        <v>26</v>
      </c>
      <c r="E37" t="s">
        <v>26</v>
      </c>
      <c r="F37" t="s">
        <v>112</v>
      </c>
      <c r="G37">
        <v>-138340</v>
      </c>
      <c r="H37" t="s">
        <v>157</v>
      </c>
      <c r="I37" t="s">
        <v>168</v>
      </c>
    </row>
    <row r="38" spans="1:9">
      <c r="A38" s="52">
        <v>46311</v>
      </c>
      <c r="B38" s="53">
        <v>0.4636689814814815</v>
      </c>
      <c r="C38" t="s">
        <v>155</v>
      </c>
      <c r="D38" t="s">
        <v>17</v>
      </c>
      <c r="E38" t="s">
        <v>173</v>
      </c>
      <c r="F38" t="s">
        <v>174</v>
      </c>
      <c r="G38">
        <v>-5990</v>
      </c>
      <c r="H38" t="s">
        <v>157</v>
      </c>
      <c r="I38" t="s">
        <v>161</v>
      </c>
    </row>
    <row r="39" spans="1:9">
      <c r="A39" s="52">
        <v>46310</v>
      </c>
      <c r="B39" s="53">
        <v>0.9990509259259259</v>
      </c>
      <c r="C39" t="s">
        <v>155</v>
      </c>
      <c r="D39" t="s">
        <v>17</v>
      </c>
      <c r="E39" t="s">
        <v>173</v>
      </c>
      <c r="F39" t="s">
        <v>174</v>
      </c>
      <c r="G39">
        <v>-5990</v>
      </c>
      <c r="H39" t="s">
        <v>157</v>
      </c>
      <c r="I39" t="s">
        <v>161</v>
      </c>
    </row>
    <row r="40" spans="1:9">
      <c r="A40" s="52">
        <v>46310</v>
      </c>
      <c r="B40" s="53">
        <v>0.7216666666666667</v>
      </c>
      <c r="C40" t="s">
        <v>155</v>
      </c>
      <c r="D40" t="s">
        <v>20</v>
      </c>
      <c r="E40" t="s">
        <v>26</v>
      </c>
      <c r="F40" t="s">
        <v>191</v>
      </c>
      <c r="G40">
        <v>-32900</v>
      </c>
      <c r="H40" t="s">
        <v>157</v>
      </c>
      <c r="I40" t="s">
        <v>192</v>
      </c>
    </row>
    <row r="41" spans="1:9">
      <c r="A41" s="52">
        <v>46310</v>
      </c>
      <c r="B41" s="53">
        <v>0.6370023148148148</v>
      </c>
      <c r="C41" t="s">
        <v>155</v>
      </c>
      <c r="D41" t="s">
        <v>22</v>
      </c>
      <c r="E41" t="s">
        <v>159</v>
      </c>
      <c r="F41" t="s">
        <v>160</v>
      </c>
      <c r="G41">
        <v>-6900</v>
      </c>
      <c r="H41" t="s">
        <v>157</v>
      </c>
      <c r="I41" t="s">
        <v>161</v>
      </c>
    </row>
    <row r="42" spans="1:9">
      <c r="A42" s="52">
        <v>46310</v>
      </c>
      <c r="B42" s="53">
        <v>0.4831597222222222</v>
      </c>
      <c r="C42" t="s">
        <v>155</v>
      </c>
      <c r="D42" t="s">
        <v>20</v>
      </c>
      <c r="E42" t="s">
        <v>26</v>
      </c>
      <c r="F42" t="s">
        <v>175</v>
      </c>
      <c r="G42">
        <v>-5500</v>
      </c>
      <c r="H42" t="s">
        <v>157</v>
      </c>
      <c r="I42" t="s">
        <v>161</v>
      </c>
    </row>
    <row r="43" spans="1:9">
      <c r="A43" s="52">
        <v>46309</v>
      </c>
      <c r="B43" s="53">
        <v>0.8443171296296297</v>
      </c>
      <c r="C43" t="s">
        <v>155</v>
      </c>
      <c r="D43" t="s">
        <v>19</v>
      </c>
      <c r="E43" t="s">
        <v>193</v>
      </c>
      <c r="F43" t="s">
        <v>194</v>
      </c>
      <c r="G43">
        <v>-12960</v>
      </c>
      <c r="H43" t="s">
        <v>157</v>
      </c>
      <c r="I43" t="s">
        <v>168</v>
      </c>
    </row>
    <row r="44" spans="1:9">
      <c r="A44" s="52">
        <v>46309</v>
      </c>
      <c r="B44" s="53">
        <v>0.8382291666666667</v>
      </c>
      <c r="C44" t="s">
        <v>155</v>
      </c>
      <c r="D44" t="s">
        <v>24</v>
      </c>
      <c r="E44" t="s">
        <v>26</v>
      </c>
      <c r="F44" t="s">
        <v>195</v>
      </c>
      <c r="G44">
        <v>-2200</v>
      </c>
      <c r="H44" t="s">
        <v>157</v>
      </c>
      <c r="I44" t="s">
        <v>161</v>
      </c>
    </row>
    <row r="45" spans="1:9">
      <c r="A45" s="52">
        <v>46309</v>
      </c>
      <c r="B45" s="53">
        <v>0.7980902777777777</v>
      </c>
      <c r="C45" t="s">
        <v>155</v>
      </c>
      <c r="D45" t="s">
        <v>22</v>
      </c>
      <c r="E45" t="s">
        <v>159</v>
      </c>
      <c r="F45" t="s">
        <v>195</v>
      </c>
      <c r="G45">
        <v>-18470</v>
      </c>
      <c r="H45" t="s">
        <v>157</v>
      </c>
      <c r="I45" t="s">
        <v>161</v>
      </c>
    </row>
    <row r="46" spans="1:9">
      <c r="A46" s="52">
        <v>46309</v>
      </c>
      <c r="B46" s="53">
        <v>0.7592361111111111</v>
      </c>
      <c r="C46" t="s">
        <v>155</v>
      </c>
      <c r="D46" t="s">
        <v>24</v>
      </c>
      <c r="E46" t="s">
        <v>26</v>
      </c>
      <c r="F46" t="s">
        <v>195</v>
      </c>
      <c r="G46">
        <v>-1000</v>
      </c>
      <c r="H46" t="s">
        <v>157</v>
      </c>
      <c r="I46" t="s">
        <v>161</v>
      </c>
    </row>
    <row r="47" spans="1:9">
      <c r="A47" s="52">
        <v>46309</v>
      </c>
      <c r="B47" s="53">
        <v>0.4847800925925926</v>
      </c>
      <c r="C47" t="s">
        <v>155</v>
      </c>
      <c r="D47" t="s">
        <v>20</v>
      </c>
      <c r="E47" t="s">
        <v>26</v>
      </c>
      <c r="F47" t="s">
        <v>196</v>
      </c>
      <c r="G47">
        <v>-4500</v>
      </c>
      <c r="H47" t="s">
        <v>157</v>
      </c>
      <c r="I47" t="s">
        <v>181</v>
      </c>
    </row>
    <row r="48" spans="1:9">
      <c r="A48" s="52">
        <v>46309</v>
      </c>
      <c r="B48" s="53">
        <v>0.3615046296296296</v>
      </c>
      <c r="C48" t="s">
        <v>155</v>
      </c>
      <c r="D48" t="s">
        <v>22</v>
      </c>
      <c r="E48" t="s">
        <v>159</v>
      </c>
      <c r="F48" t="s">
        <v>197</v>
      </c>
      <c r="G48">
        <v>-12500</v>
      </c>
      <c r="H48" t="s">
        <v>157</v>
      </c>
      <c r="I48" t="s">
        <v>168</v>
      </c>
    </row>
    <row r="49" spans="1:9">
      <c r="A49" s="52">
        <v>46309</v>
      </c>
      <c r="B49" s="53">
        <v>0.3596412037037037</v>
      </c>
      <c r="C49" t="s">
        <v>155</v>
      </c>
      <c r="D49" t="s">
        <v>22</v>
      </c>
      <c r="E49" t="s">
        <v>198</v>
      </c>
      <c r="F49" t="s">
        <v>199</v>
      </c>
      <c r="G49">
        <v>-7890</v>
      </c>
      <c r="H49" t="s">
        <v>157</v>
      </c>
      <c r="I49" t="s">
        <v>168</v>
      </c>
    </row>
    <row r="50" spans="1:9">
      <c r="A50" s="52">
        <v>46309</v>
      </c>
      <c r="B50" s="53">
        <v>0.3369791666666667</v>
      </c>
      <c r="C50" t="s">
        <v>155</v>
      </c>
      <c r="D50" t="s">
        <v>17</v>
      </c>
      <c r="E50" t="s">
        <v>173</v>
      </c>
      <c r="F50" t="s">
        <v>174</v>
      </c>
      <c r="G50">
        <v>-5990</v>
      </c>
      <c r="H50" t="s">
        <v>157</v>
      </c>
      <c r="I50" t="s">
        <v>161</v>
      </c>
    </row>
    <row r="51" spans="1:9">
      <c r="A51" s="52">
        <v>46308</v>
      </c>
      <c r="B51" s="53">
        <v>0.5617129629629629</v>
      </c>
      <c r="C51" t="s">
        <v>155</v>
      </c>
      <c r="D51" t="s">
        <v>22</v>
      </c>
      <c r="E51" t="s">
        <v>159</v>
      </c>
      <c r="F51" t="s">
        <v>200</v>
      </c>
      <c r="G51">
        <v>-5000</v>
      </c>
      <c r="H51" t="s">
        <v>157</v>
      </c>
      <c r="I51" t="s">
        <v>181</v>
      </c>
    </row>
    <row r="52" spans="1:9">
      <c r="A52" s="52">
        <v>46308</v>
      </c>
      <c r="B52" s="53">
        <v>0.4208217592592592</v>
      </c>
      <c r="C52" t="s">
        <v>155</v>
      </c>
      <c r="D52" t="s">
        <v>23</v>
      </c>
      <c r="E52" t="s">
        <v>179</v>
      </c>
      <c r="F52" t="s">
        <v>180</v>
      </c>
      <c r="G52">
        <v>-15430</v>
      </c>
      <c r="H52" t="s">
        <v>157</v>
      </c>
      <c r="I52" t="s">
        <v>181</v>
      </c>
    </row>
    <row r="53" spans="1:9">
      <c r="A53" s="52">
        <v>46307</v>
      </c>
      <c r="B53" s="53">
        <v>0.8541203703703704</v>
      </c>
      <c r="C53" t="s">
        <v>155</v>
      </c>
      <c r="D53" t="s">
        <v>17</v>
      </c>
      <c r="E53" t="s">
        <v>173</v>
      </c>
      <c r="F53" t="s">
        <v>174</v>
      </c>
      <c r="G53">
        <v>-5990</v>
      </c>
      <c r="H53" t="s">
        <v>157</v>
      </c>
      <c r="I53" t="s">
        <v>161</v>
      </c>
    </row>
    <row r="54" spans="1:9">
      <c r="A54" s="52">
        <v>46307</v>
      </c>
      <c r="B54" s="53">
        <v>0.8403819444444445</v>
      </c>
      <c r="C54" t="s">
        <v>155</v>
      </c>
      <c r="D54" t="s">
        <v>18</v>
      </c>
      <c r="E54" t="s">
        <v>201</v>
      </c>
      <c r="F54" t="s">
        <v>202</v>
      </c>
      <c r="G54">
        <v>-6500</v>
      </c>
      <c r="H54" t="s">
        <v>157</v>
      </c>
      <c r="I54" t="s">
        <v>161</v>
      </c>
    </row>
    <row r="55" spans="1:9">
      <c r="A55" s="52">
        <v>46307</v>
      </c>
      <c r="B55" s="53">
        <v>0.830462962962963</v>
      </c>
      <c r="C55" t="s">
        <v>155</v>
      </c>
      <c r="D55" t="s">
        <v>18</v>
      </c>
      <c r="E55" t="s">
        <v>201</v>
      </c>
      <c r="F55" t="s">
        <v>203</v>
      </c>
      <c r="G55">
        <v>5800</v>
      </c>
      <c r="H55" t="s">
        <v>157</v>
      </c>
      <c r="I55" t="s">
        <v>161</v>
      </c>
    </row>
    <row r="56" spans="1:9">
      <c r="A56" s="52">
        <v>46307</v>
      </c>
      <c r="B56" s="53">
        <v>0.830462962962963</v>
      </c>
      <c r="C56" t="s">
        <v>155</v>
      </c>
      <c r="D56" t="s">
        <v>18</v>
      </c>
      <c r="E56" t="s">
        <v>201</v>
      </c>
      <c r="F56" t="s">
        <v>203</v>
      </c>
      <c r="G56">
        <v>-5800</v>
      </c>
      <c r="H56" t="s">
        <v>157</v>
      </c>
      <c r="I56" t="s">
        <v>161</v>
      </c>
    </row>
    <row r="57" spans="1:9">
      <c r="A57" s="52">
        <v>46307</v>
      </c>
      <c r="B57" s="53">
        <v>0.7628472222222222</v>
      </c>
      <c r="C57" t="s">
        <v>155</v>
      </c>
      <c r="D57" t="s">
        <v>18</v>
      </c>
      <c r="E57" t="s">
        <v>204</v>
      </c>
      <c r="F57" t="s">
        <v>205</v>
      </c>
      <c r="G57">
        <v>-34000</v>
      </c>
      <c r="H57" t="s">
        <v>157</v>
      </c>
      <c r="I57" t="s">
        <v>181</v>
      </c>
    </row>
    <row r="58" spans="1:9">
      <c r="A58" s="52">
        <v>46307</v>
      </c>
      <c r="B58" s="53">
        <v>0.6151041666666667</v>
      </c>
      <c r="C58" t="s">
        <v>155</v>
      </c>
      <c r="D58" t="s">
        <v>18</v>
      </c>
      <c r="E58" t="s">
        <v>166</v>
      </c>
      <c r="F58" t="s">
        <v>167</v>
      </c>
      <c r="G58">
        <v>-88200</v>
      </c>
      <c r="H58" t="s">
        <v>157</v>
      </c>
      <c r="I58" t="s">
        <v>168</v>
      </c>
    </row>
    <row r="59" spans="1:9">
      <c r="A59" s="52">
        <v>46307</v>
      </c>
      <c r="B59" s="53">
        <v>0.5321412037037037</v>
      </c>
      <c r="C59" t="s">
        <v>155</v>
      </c>
      <c r="D59" t="s">
        <v>22</v>
      </c>
      <c r="E59" t="s">
        <v>159</v>
      </c>
      <c r="F59" t="s">
        <v>206</v>
      </c>
      <c r="G59">
        <v>-48700</v>
      </c>
      <c r="H59" t="s">
        <v>157</v>
      </c>
      <c r="I59" t="s">
        <v>168</v>
      </c>
    </row>
    <row r="60" spans="1:9">
      <c r="A60" s="52">
        <v>46306</v>
      </c>
      <c r="B60" s="53">
        <v>0.04997685185185185</v>
      </c>
      <c r="C60" t="s">
        <v>155</v>
      </c>
      <c r="D60" t="s">
        <v>22</v>
      </c>
      <c r="E60" t="s">
        <v>159</v>
      </c>
      <c r="F60" t="s">
        <v>171</v>
      </c>
      <c r="G60">
        <v>-5990</v>
      </c>
      <c r="H60" t="s">
        <v>157</v>
      </c>
      <c r="I60" t="s">
        <v>172</v>
      </c>
    </row>
    <row r="61" spans="1:9">
      <c r="A61" s="52">
        <v>46306</v>
      </c>
      <c r="B61" s="53">
        <v>0.04971064814814815</v>
      </c>
      <c r="C61" t="s">
        <v>155</v>
      </c>
      <c r="D61" t="s">
        <v>22</v>
      </c>
      <c r="E61" t="s">
        <v>159</v>
      </c>
      <c r="F61" t="s">
        <v>171</v>
      </c>
      <c r="G61">
        <v>-16800</v>
      </c>
      <c r="H61" t="s">
        <v>157</v>
      </c>
      <c r="I61" t="s">
        <v>172</v>
      </c>
    </row>
    <row r="62" spans="1:9">
      <c r="A62" s="52">
        <v>46306</v>
      </c>
      <c r="B62" s="53">
        <v>0.04929398148148148</v>
      </c>
      <c r="C62" t="s">
        <v>155</v>
      </c>
      <c r="D62" t="s">
        <v>22</v>
      </c>
      <c r="E62" t="s">
        <v>207</v>
      </c>
      <c r="F62" t="s">
        <v>208</v>
      </c>
      <c r="G62">
        <v>16800</v>
      </c>
      <c r="H62" t="s">
        <v>157</v>
      </c>
      <c r="I62" t="s">
        <v>161</v>
      </c>
    </row>
    <row r="63" spans="1:9">
      <c r="A63" s="52">
        <v>46306</v>
      </c>
      <c r="B63" s="53">
        <v>0.04109953703703704</v>
      </c>
      <c r="C63" t="s">
        <v>155</v>
      </c>
      <c r="D63" t="s">
        <v>22</v>
      </c>
      <c r="E63" t="s">
        <v>159</v>
      </c>
      <c r="F63" t="s">
        <v>171</v>
      </c>
      <c r="G63">
        <v>16800</v>
      </c>
      <c r="H63" t="s">
        <v>157</v>
      </c>
      <c r="I63" t="s">
        <v>172</v>
      </c>
    </row>
    <row r="64" spans="1:9">
      <c r="A64" s="52">
        <v>46306</v>
      </c>
      <c r="B64" s="53">
        <v>0.04108796296296297</v>
      </c>
      <c r="C64" t="s">
        <v>155</v>
      </c>
      <c r="D64" t="s">
        <v>22</v>
      </c>
      <c r="E64" t="s">
        <v>207</v>
      </c>
      <c r="F64" t="s">
        <v>208</v>
      </c>
      <c r="G64">
        <v>-16800</v>
      </c>
      <c r="H64" t="s">
        <v>157</v>
      </c>
      <c r="I64" t="s">
        <v>161</v>
      </c>
    </row>
    <row r="65" spans="1:9">
      <c r="A65" s="52">
        <v>46304</v>
      </c>
      <c r="B65" s="53">
        <v>0.4345023148148148</v>
      </c>
      <c r="C65" t="s">
        <v>155</v>
      </c>
      <c r="D65" t="s">
        <v>18</v>
      </c>
      <c r="E65" t="s">
        <v>201</v>
      </c>
      <c r="F65" t="s">
        <v>209</v>
      </c>
      <c r="G65">
        <v>-5500</v>
      </c>
      <c r="H65" t="s">
        <v>157</v>
      </c>
      <c r="I65" t="s">
        <v>161</v>
      </c>
    </row>
    <row r="66" spans="1:9">
      <c r="A66" s="52">
        <v>46304</v>
      </c>
      <c r="B66" s="53">
        <v>0.4284143518518518</v>
      </c>
      <c r="C66" t="s">
        <v>155</v>
      </c>
      <c r="D66" t="s">
        <v>18</v>
      </c>
      <c r="E66" t="s">
        <v>201</v>
      </c>
      <c r="F66" t="s">
        <v>203</v>
      </c>
      <c r="G66">
        <v>5300</v>
      </c>
      <c r="H66" t="s">
        <v>157</v>
      </c>
      <c r="I66" t="s">
        <v>161</v>
      </c>
    </row>
    <row r="67" spans="1:9">
      <c r="A67" s="52">
        <v>46304</v>
      </c>
      <c r="B67" s="53">
        <v>0.4284143518518518</v>
      </c>
      <c r="C67" t="s">
        <v>155</v>
      </c>
      <c r="D67" t="s">
        <v>18</v>
      </c>
      <c r="E67" t="s">
        <v>201</v>
      </c>
      <c r="F67" t="s">
        <v>203</v>
      </c>
      <c r="G67">
        <v>-5300</v>
      </c>
      <c r="H67" t="s">
        <v>157</v>
      </c>
      <c r="I67" t="s">
        <v>161</v>
      </c>
    </row>
    <row r="68" spans="1:9">
      <c r="A68" s="52">
        <v>46304</v>
      </c>
      <c r="B68" s="53">
        <v>0.1103819444444444</v>
      </c>
      <c r="C68" t="s">
        <v>155</v>
      </c>
      <c r="D68" t="s">
        <v>22</v>
      </c>
      <c r="E68" t="s">
        <v>159</v>
      </c>
      <c r="F68" t="s">
        <v>210</v>
      </c>
      <c r="G68">
        <v>-7920</v>
      </c>
      <c r="H68" t="s">
        <v>157</v>
      </c>
      <c r="I68" t="s">
        <v>161</v>
      </c>
    </row>
    <row r="69" spans="1:9">
      <c r="A69" s="52">
        <v>46303</v>
      </c>
      <c r="B69" s="53">
        <v>0.5425347222222222</v>
      </c>
      <c r="C69" t="s">
        <v>155</v>
      </c>
      <c r="D69" t="s">
        <v>24</v>
      </c>
      <c r="E69" t="s">
        <v>26</v>
      </c>
      <c r="F69" t="s">
        <v>211</v>
      </c>
      <c r="G69">
        <v>-5800</v>
      </c>
      <c r="H69" t="s">
        <v>157</v>
      </c>
      <c r="I69" t="s">
        <v>161</v>
      </c>
    </row>
    <row r="70" spans="1:9">
      <c r="A70" s="52">
        <v>46303</v>
      </c>
      <c r="B70" s="53">
        <v>0.5423032407407408</v>
      </c>
      <c r="C70" t="s">
        <v>155</v>
      </c>
      <c r="D70" t="s">
        <v>24</v>
      </c>
      <c r="E70" t="s">
        <v>26</v>
      </c>
      <c r="F70" t="s">
        <v>211</v>
      </c>
      <c r="G70">
        <v>5800</v>
      </c>
      <c r="H70" t="s">
        <v>157</v>
      </c>
      <c r="I70" t="s">
        <v>181</v>
      </c>
    </row>
    <row r="71" spans="1:9">
      <c r="A71" s="52">
        <v>46303</v>
      </c>
      <c r="B71" s="53">
        <v>0.5420601851851852</v>
      </c>
      <c r="C71" t="s">
        <v>155</v>
      </c>
      <c r="D71" t="s">
        <v>24</v>
      </c>
      <c r="E71" t="s">
        <v>26</v>
      </c>
      <c r="F71" t="s">
        <v>211</v>
      </c>
      <c r="G71">
        <v>-5800</v>
      </c>
      <c r="H71" t="s">
        <v>157</v>
      </c>
      <c r="I71" t="s">
        <v>181</v>
      </c>
    </row>
    <row r="72" spans="1:9">
      <c r="A72" s="52">
        <v>46303</v>
      </c>
      <c r="B72" s="53">
        <v>0.5415856481481481</v>
      </c>
      <c r="C72" t="s">
        <v>155</v>
      </c>
      <c r="D72" t="s">
        <v>24</v>
      </c>
      <c r="E72" t="s">
        <v>26</v>
      </c>
      <c r="F72" t="s">
        <v>211</v>
      </c>
      <c r="G72">
        <v>-3800</v>
      </c>
      <c r="H72" t="s">
        <v>157</v>
      </c>
      <c r="I72" t="s">
        <v>181</v>
      </c>
    </row>
    <row r="73" spans="1:9">
      <c r="A73" s="52">
        <v>46303</v>
      </c>
      <c r="B73" s="53">
        <v>0.4953356481481481</v>
      </c>
      <c r="C73" t="s">
        <v>155</v>
      </c>
      <c r="D73" t="s">
        <v>23</v>
      </c>
      <c r="E73" t="s">
        <v>212</v>
      </c>
      <c r="F73" t="s">
        <v>213</v>
      </c>
      <c r="G73">
        <v>-105600</v>
      </c>
      <c r="H73" t="s">
        <v>157</v>
      </c>
      <c r="I73" t="s">
        <v>168</v>
      </c>
    </row>
    <row r="74" spans="1:9">
      <c r="A74" s="52">
        <v>46303</v>
      </c>
      <c r="B74" s="53">
        <v>0.4006597222222222</v>
      </c>
      <c r="C74" t="s">
        <v>155</v>
      </c>
      <c r="D74" t="s">
        <v>25</v>
      </c>
      <c r="E74" t="s">
        <v>214</v>
      </c>
      <c r="F74" t="s">
        <v>215</v>
      </c>
      <c r="G74">
        <v>-6999</v>
      </c>
      <c r="H74" t="s">
        <v>157</v>
      </c>
      <c r="I74" t="s">
        <v>161</v>
      </c>
    </row>
    <row r="75" spans="1:9">
      <c r="A75" s="52">
        <v>46303</v>
      </c>
      <c r="B75" s="53">
        <v>0.381400462962963</v>
      </c>
      <c r="C75" t="s">
        <v>155</v>
      </c>
      <c r="D75" t="s">
        <v>22</v>
      </c>
      <c r="E75" t="s">
        <v>159</v>
      </c>
      <c r="F75" t="s">
        <v>216</v>
      </c>
      <c r="G75">
        <v>-5800</v>
      </c>
      <c r="H75" t="s">
        <v>157</v>
      </c>
      <c r="I75" t="s">
        <v>161</v>
      </c>
    </row>
    <row r="76" spans="1:9">
      <c r="A76" s="52">
        <v>46302</v>
      </c>
      <c r="B76" s="53">
        <v>0.8569444444444444</v>
      </c>
      <c r="C76" t="s">
        <v>155</v>
      </c>
      <c r="D76" t="s">
        <v>20</v>
      </c>
      <c r="E76" t="s">
        <v>26</v>
      </c>
      <c r="F76" t="s">
        <v>217</v>
      </c>
      <c r="G76">
        <v>-5200</v>
      </c>
      <c r="H76" t="s">
        <v>157</v>
      </c>
      <c r="I76" t="s">
        <v>161</v>
      </c>
    </row>
    <row r="77" spans="1:9">
      <c r="A77" s="52">
        <v>46302</v>
      </c>
      <c r="B77" s="53">
        <v>0.7795486111111111</v>
      </c>
      <c r="C77" t="s">
        <v>155</v>
      </c>
      <c r="D77" t="s">
        <v>19</v>
      </c>
      <c r="E77" t="s">
        <v>218</v>
      </c>
      <c r="F77" t="s">
        <v>219</v>
      </c>
      <c r="G77">
        <v>-10800</v>
      </c>
      <c r="H77" t="s">
        <v>157</v>
      </c>
      <c r="I77" t="s">
        <v>192</v>
      </c>
    </row>
    <row r="78" spans="1:9">
      <c r="A78" s="52">
        <v>46302</v>
      </c>
      <c r="B78" s="53">
        <v>0.6121643518518518</v>
      </c>
      <c r="C78" t="s">
        <v>155</v>
      </c>
      <c r="D78" t="s">
        <v>26</v>
      </c>
      <c r="E78" t="s">
        <v>26</v>
      </c>
      <c r="F78" t="s">
        <v>220</v>
      </c>
      <c r="G78">
        <v>-10860</v>
      </c>
      <c r="H78" t="s">
        <v>157</v>
      </c>
      <c r="I78" t="s">
        <v>168</v>
      </c>
    </row>
    <row r="79" spans="1:9">
      <c r="A79" s="52">
        <v>46302</v>
      </c>
      <c r="B79" s="53">
        <v>0.549074074074074</v>
      </c>
      <c r="C79" t="s">
        <v>155</v>
      </c>
      <c r="D79" t="s">
        <v>23</v>
      </c>
      <c r="E79" t="s">
        <v>179</v>
      </c>
      <c r="F79" t="s">
        <v>180</v>
      </c>
      <c r="G79">
        <v>-37000</v>
      </c>
      <c r="H79" t="s">
        <v>157</v>
      </c>
      <c r="I79" t="s">
        <v>181</v>
      </c>
    </row>
    <row r="80" spans="1:9">
      <c r="A80" s="52">
        <v>46302</v>
      </c>
      <c r="B80" s="53">
        <v>0.4850578703703703</v>
      </c>
      <c r="C80" t="s">
        <v>155</v>
      </c>
      <c r="D80" t="s">
        <v>20</v>
      </c>
      <c r="E80" t="s">
        <v>26</v>
      </c>
      <c r="F80" t="s">
        <v>221</v>
      </c>
      <c r="G80">
        <v>-2500</v>
      </c>
      <c r="H80" t="s">
        <v>157</v>
      </c>
      <c r="I80" t="s">
        <v>181</v>
      </c>
    </row>
    <row r="81" spans="1:9">
      <c r="A81" s="52">
        <v>46302</v>
      </c>
      <c r="B81" s="53">
        <v>0.4769907407407407</v>
      </c>
      <c r="C81" t="s">
        <v>155</v>
      </c>
      <c r="D81" t="s">
        <v>22</v>
      </c>
      <c r="E81" t="s">
        <v>198</v>
      </c>
      <c r="F81" t="s">
        <v>222</v>
      </c>
      <c r="G81">
        <v>-4900</v>
      </c>
      <c r="H81" t="s">
        <v>157</v>
      </c>
      <c r="I81" t="s">
        <v>168</v>
      </c>
    </row>
    <row r="82" spans="1:9">
      <c r="A82" s="52">
        <v>46301</v>
      </c>
      <c r="B82" s="53">
        <v>0.7856828703703703</v>
      </c>
      <c r="C82" t="s">
        <v>155</v>
      </c>
      <c r="D82" t="s">
        <v>21</v>
      </c>
      <c r="E82" t="s">
        <v>26</v>
      </c>
      <c r="F82" t="s">
        <v>223</v>
      </c>
      <c r="G82">
        <v>-138000</v>
      </c>
      <c r="H82" t="s">
        <v>157</v>
      </c>
      <c r="I82" t="s">
        <v>224</v>
      </c>
    </row>
    <row r="83" spans="1:9">
      <c r="A83" s="52">
        <v>46301</v>
      </c>
      <c r="B83" s="53">
        <v>0.7341666666666666</v>
      </c>
      <c r="C83" t="s">
        <v>155</v>
      </c>
      <c r="D83" t="s">
        <v>20</v>
      </c>
      <c r="E83" t="s">
        <v>26</v>
      </c>
      <c r="F83" t="s">
        <v>225</v>
      </c>
      <c r="G83">
        <v>-5600</v>
      </c>
      <c r="H83" t="s">
        <v>157</v>
      </c>
      <c r="I83" t="s">
        <v>161</v>
      </c>
    </row>
    <row r="84" spans="1:9">
      <c r="A84" s="52">
        <v>46301</v>
      </c>
      <c r="B84" s="53">
        <v>0.7340740740740741</v>
      </c>
      <c r="C84" t="s">
        <v>155</v>
      </c>
      <c r="D84" t="s">
        <v>20</v>
      </c>
      <c r="E84" t="s">
        <v>26</v>
      </c>
      <c r="F84" t="s">
        <v>226</v>
      </c>
      <c r="G84">
        <v>-11000</v>
      </c>
      <c r="H84" t="s">
        <v>157</v>
      </c>
      <c r="I84" t="s">
        <v>192</v>
      </c>
    </row>
    <row r="85" spans="1:9">
      <c r="A85" s="52">
        <v>46301</v>
      </c>
      <c r="B85" s="53">
        <v>0.6209143518518518</v>
      </c>
      <c r="C85" t="s">
        <v>155</v>
      </c>
      <c r="D85" t="s">
        <v>18</v>
      </c>
      <c r="E85" t="s">
        <v>166</v>
      </c>
      <c r="F85" t="s">
        <v>167</v>
      </c>
      <c r="G85">
        <v>-43300</v>
      </c>
      <c r="H85" t="s">
        <v>157</v>
      </c>
      <c r="I85" t="s">
        <v>168</v>
      </c>
    </row>
    <row r="86" spans="1:9">
      <c r="A86" s="52">
        <v>46301</v>
      </c>
      <c r="B86" s="53">
        <v>0.4927314814814815</v>
      </c>
      <c r="C86" t="s">
        <v>155</v>
      </c>
      <c r="D86" t="s">
        <v>20</v>
      </c>
      <c r="E86" t="s">
        <v>26</v>
      </c>
      <c r="F86" t="s">
        <v>227</v>
      </c>
      <c r="G86">
        <v>-11800</v>
      </c>
      <c r="H86" t="s">
        <v>157</v>
      </c>
      <c r="I86" t="s">
        <v>161</v>
      </c>
    </row>
    <row r="87" spans="1:9">
      <c r="A87" s="52">
        <v>46301</v>
      </c>
      <c r="B87" s="53">
        <v>0.4814583333333333</v>
      </c>
      <c r="C87" t="s">
        <v>155</v>
      </c>
      <c r="D87" t="s">
        <v>22</v>
      </c>
      <c r="E87" t="s">
        <v>159</v>
      </c>
      <c r="F87" t="s">
        <v>216</v>
      </c>
      <c r="G87">
        <v>-29290</v>
      </c>
      <c r="H87" t="s">
        <v>157</v>
      </c>
      <c r="I87" t="s">
        <v>168</v>
      </c>
    </row>
    <row r="88" spans="1:9">
      <c r="A88" s="52">
        <v>46300</v>
      </c>
      <c r="B88" s="53">
        <v>0.05537037037037037</v>
      </c>
      <c r="C88" t="s">
        <v>155</v>
      </c>
      <c r="D88" t="s">
        <v>22</v>
      </c>
      <c r="E88" t="s">
        <v>159</v>
      </c>
      <c r="F88" t="s">
        <v>228</v>
      </c>
      <c r="G88">
        <v>-39740</v>
      </c>
      <c r="H88" t="s">
        <v>157</v>
      </c>
      <c r="I88" t="s">
        <v>168</v>
      </c>
    </row>
    <row r="89" spans="1:9">
      <c r="A89" s="52">
        <v>46299</v>
      </c>
      <c r="B89" s="53">
        <v>0.8544212962962963</v>
      </c>
      <c r="C89" t="s">
        <v>155</v>
      </c>
      <c r="D89" t="s">
        <v>23</v>
      </c>
      <c r="E89" t="s">
        <v>229</v>
      </c>
      <c r="F89" t="s">
        <v>230</v>
      </c>
      <c r="G89">
        <v>-25000</v>
      </c>
      <c r="H89" t="s">
        <v>157</v>
      </c>
      <c r="I89" t="s">
        <v>181</v>
      </c>
    </row>
    <row r="90" spans="1:9">
      <c r="A90" s="52">
        <v>46299</v>
      </c>
      <c r="B90" s="53">
        <v>0.8024074074074075</v>
      </c>
      <c r="C90" t="s">
        <v>155</v>
      </c>
      <c r="D90" t="s">
        <v>26</v>
      </c>
      <c r="E90" t="s">
        <v>26</v>
      </c>
      <c r="F90" t="s">
        <v>231</v>
      </c>
      <c r="G90">
        <v>-107500</v>
      </c>
      <c r="H90" t="s">
        <v>157</v>
      </c>
      <c r="I90" t="s">
        <v>168</v>
      </c>
    </row>
    <row r="91" spans="1:9">
      <c r="A91" s="52">
        <v>46299</v>
      </c>
      <c r="B91" s="53">
        <v>0.8021412037037037</v>
      </c>
      <c r="C91" t="s">
        <v>155</v>
      </c>
      <c r="D91" t="s">
        <v>26</v>
      </c>
      <c r="E91" t="s">
        <v>26</v>
      </c>
      <c r="F91" t="s">
        <v>232</v>
      </c>
      <c r="G91">
        <v>-8000</v>
      </c>
      <c r="H91" t="s">
        <v>157</v>
      </c>
      <c r="I91" t="s">
        <v>181</v>
      </c>
    </row>
    <row r="92" spans="1:9">
      <c r="A92" s="52">
        <v>46299</v>
      </c>
      <c r="B92" s="53">
        <v>0.7753703703703704</v>
      </c>
      <c r="C92" t="s">
        <v>155</v>
      </c>
      <c r="D92" t="s">
        <v>19</v>
      </c>
      <c r="E92" t="s">
        <v>218</v>
      </c>
      <c r="F92" t="s">
        <v>233</v>
      </c>
      <c r="G92">
        <v>-3300</v>
      </c>
      <c r="H92" t="s">
        <v>157</v>
      </c>
      <c r="I9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2026-10-22T08:17:35Z</dcterms:created>
  <dcterms:modified xsi:type="dcterms:W3CDTF">2026-10-22T08:17:35Z</dcterms:modified>
</cp:coreProperties>
</file>